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E:\www\imawa\net\hpl\baseball\documents\"/>
    </mc:Choice>
  </mc:AlternateContent>
  <xr:revisionPtr revIDLastSave="0" documentId="13_ncr:1_{E7BD115C-980D-455B-BC69-0DC7BBBFD780}" xr6:coauthVersionLast="47" xr6:coauthVersionMax="47" xr10:uidLastSave="{00000000-0000-0000-0000-000000000000}"/>
  <bookViews>
    <workbookView xWindow="-120" yWindow="-120" windowWidth="29040" windowHeight="15720" xr2:uid="{1ACB8505-890A-4C2A-8747-1940837981C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5" i="1" l="1"/>
  <c r="E55" i="1"/>
  <c r="A55" i="1"/>
  <c r="H54" i="1"/>
  <c r="E54" i="1"/>
  <c r="A54" i="1"/>
  <c r="H53" i="1"/>
  <c r="E53" i="1"/>
  <c r="A53" i="1"/>
  <c r="H52" i="1"/>
  <c r="H51" i="1" s="1"/>
  <c r="E52" i="1"/>
  <c r="A52" i="1"/>
  <c r="G51" i="1"/>
  <c r="F51" i="1"/>
  <c r="E57" i="1"/>
  <c r="F56" i="1"/>
  <c r="G56" i="1"/>
  <c r="A57" i="1"/>
  <c r="H57" i="1"/>
  <c r="A58" i="1"/>
  <c r="E58" i="1"/>
  <c r="H58" i="1"/>
  <c r="A59" i="1"/>
  <c r="E59" i="1"/>
  <c r="H59" i="1"/>
  <c r="A60" i="1"/>
  <c r="E60" i="1"/>
  <c r="H60" i="1"/>
  <c r="F61" i="1"/>
  <c r="G61" i="1"/>
  <c r="A62" i="1"/>
  <c r="E62" i="1"/>
  <c r="H62" i="1"/>
  <c r="A63" i="1"/>
  <c r="E63" i="1"/>
  <c r="H63" i="1"/>
  <c r="A64" i="1"/>
  <c r="E64" i="1"/>
  <c r="H64" i="1"/>
  <c r="A65" i="1"/>
  <c r="E65" i="1"/>
  <c r="H65" i="1"/>
  <c r="F66" i="1"/>
  <c r="G66" i="1"/>
  <c r="A67" i="1"/>
  <c r="E67" i="1"/>
  <c r="H67" i="1"/>
  <c r="A68" i="1"/>
  <c r="E68" i="1"/>
  <c r="H68" i="1"/>
  <c r="A69" i="1"/>
  <c r="E69" i="1"/>
  <c r="H69" i="1"/>
  <c r="A70" i="1"/>
  <c r="E70" i="1"/>
  <c r="H70" i="1"/>
  <c r="E51" i="1" l="1"/>
  <c r="D51" i="1" a="1"/>
  <c r="D51" i="1" s="1"/>
  <c r="H61" i="1"/>
  <c r="H56" i="1"/>
  <c r="H66" i="1"/>
  <c r="D61" i="1" a="1"/>
  <c r="D61" i="1" s="1"/>
  <c r="D66" i="1" a="1"/>
  <c r="D66" i="1" s="1"/>
  <c r="D56" i="1" a="1"/>
  <c r="D56" i="1" s="1"/>
  <c r="E61" i="1"/>
  <c r="E66" i="1"/>
  <c r="E56" i="1"/>
  <c r="E50" i="1" l="1"/>
  <c r="E49" i="1"/>
  <c r="E48" i="1"/>
  <c r="E47" i="1"/>
  <c r="E45" i="1"/>
  <c r="E44" i="1"/>
  <c r="E43" i="1"/>
  <c r="E42" i="1"/>
  <c r="E40" i="1"/>
  <c r="E39" i="1"/>
  <c r="E38" i="1"/>
  <c r="E37" i="1"/>
  <c r="E35" i="1"/>
  <c r="E34" i="1"/>
  <c r="E33" i="1"/>
  <c r="E32" i="1"/>
  <c r="E30" i="1"/>
  <c r="E29" i="1"/>
  <c r="E28" i="1"/>
  <c r="E27" i="1"/>
  <c r="E25" i="1"/>
  <c r="E24" i="1"/>
  <c r="E23" i="1"/>
  <c r="E22" i="1"/>
  <c r="E20" i="1"/>
  <c r="E19" i="1"/>
  <c r="E18" i="1"/>
  <c r="E17" i="1"/>
  <c r="E15" i="1"/>
  <c r="E14" i="1"/>
  <c r="E13" i="1"/>
  <c r="E12" i="1"/>
  <c r="E10" i="1"/>
  <c r="E9" i="1"/>
  <c r="E8" i="1"/>
  <c r="E6" i="1"/>
  <c r="E5" i="1"/>
  <c r="E4" i="1"/>
  <c r="H50" i="1"/>
  <c r="A50" i="1"/>
  <c r="H49" i="1"/>
  <c r="A49" i="1"/>
  <c r="H48" i="1"/>
  <c r="A48" i="1"/>
  <c r="H47" i="1"/>
  <c r="A47" i="1"/>
  <c r="G46" i="1"/>
  <c r="F46" i="1"/>
  <c r="H35" i="1"/>
  <c r="A35" i="1"/>
  <c r="H34" i="1"/>
  <c r="A34" i="1"/>
  <c r="H33" i="1"/>
  <c r="A33" i="1"/>
  <c r="H32" i="1"/>
  <c r="A32" i="1"/>
  <c r="G31" i="1"/>
  <c r="F31" i="1"/>
  <c r="H30" i="1"/>
  <c r="A30" i="1"/>
  <c r="H29" i="1"/>
  <c r="A29" i="1"/>
  <c r="H28" i="1"/>
  <c r="A28" i="1"/>
  <c r="H27" i="1"/>
  <c r="A27" i="1"/>
  <c r="G26" i="1"/>
  <c r="F26" i="1"/>
  <c r="H40" i="1"/>
  <c r="A40" i="1"/>
  <c r="H39" i="1"/>
  <c r="A39" i="1"/>
  <c r="H38" i="1"/>
  <c r="A38" i="1"/>
  <c r="H37" i="1"/>
  <c r="A37" i="1"/>
  <c r="G36" i="1"/>
  <c r="F36" i="1"/>
  <c r="F41" i="1"/>
  <c r="H45" i="1"/>
  <c r="A45" i="1"/>
  <c r="H44" i="1"/>
  <c r="A44" i="1"/>
  <c r="H43" i="1"/>
  <c r="A43" i="1"/>
  <c r="H42" i="1"/>
  <c r="A42" i="1"/>
  <c r="G41" i="1"/>
  <c r="G21" i="1"/>
  <c r="F21" i="1"/>
  <c r="G16" i="1"/>
  <c r="F16" i="1"/>
  <c r="G11" i="1"/>
  <c r="F11" i="1"/>
  <c r="G7" i="1"/>
  <c r="F7" i="1"/>
  <c r="G3" i="1"/>
  <c r="F3" i="1"/>
  <c r="A3" i="1"/>
  <c r="H25" i="1"/>
  <c r="A25" i="1"/>
  <c r="H24" i="1"/>
  <c r="A24" i="1"/>
  <c r="H23" i="1"/>
  <c r="A23" i="1"/>
  <c r="H22" i="1"/>
  <c r="A22" i="1"/>
  <c r="H20" i="1"/>
  <c r="A20" i="1"/>
  <c r="H19" i="1"/>
  <c r="A19" i="1"/>
  <c r="H18" i="1"/>
  <c r="A18" i="1"/>
  <c r="H17" i="1"/>
  <c r="A17" i="1"/>
  <c r="H15" i="1"/>
  <c r="H14" i="1"/>
  <c r="H13" i="1"/>
  <c r="H12" i="1"/>
  <c r="H10" i="1"/>
  <c r="H9" i="1"/>
  <c r="H8" i="1"/>
  <c r="H6" i="1"/>
  <c r="H5" i="1"/>
  <c r="H4" i="1"/>
  <c r="A15" i="1"/>
  <c r="A14" i="1"/>
  <c r="A13" i="1"/>
  <c r="A12" i="1"/>
  <c r="A9" i="1"/>
  <c r="A8" i="1"/>
  <c r="A6" i="1"/>
  <c r="A5" i="1"/>
  <c r="A10" i="1"/>
  <c r="A4" i="1"/>
  <c r="I2" i="1" l="1"/>
  <c r="J2" i="1" s="1"/>
  <c r="K2" i="1" s="1"/>
  <c r="L2" i="1" s="1"/>
  <c r="M2" i="1" s="1"/>
  <c r="N2" i="1" s="1"/>
  <c r="O2" i="1" s="1"/>
  <c r="P2" i="1" s="1"/>
  <c r="Q2" i="1" s="1"/>
  <c r="R2" i="1" s="1"/>
  <c r="S2" i="1" s="1"/>
  <c r="T2" i="1" s="1"/>
  <c r="U2" i="1" s="1"/>
  <c r="V2" i="1" s="1"/>
  <c r="W2" i="1" s="1"/>
  <c r="X2" i="1" s="1"/>
  <c r="Y2" i="1" s="1"/>
  <c r="Z2" i="1" s="1"/>
  <c r="AA2" i="1" s="1"/>
  <c r="AB2" i="1" s="1"/>
  <c r="AC2" i="1" s="1"/>
  <c r="AD2" i="1" s="1"/>
  <c r="AE2" i="1" s="1"/>
  <c r="AF2" i="1" s="1"/>
  <c r="AG2" i="1" s="1"/>
  <c r="AH2" i="1" s="1"/>
  <c r="AI2" i="1" s="1"/>
  <c r="AJ2" i="1" s="1"/>
  <c r="AK2" i="1" s="1"/>
  <c r="AL2" i="1" s="1"/>
  <c r="AM2" i="1" s="1"/>
  <c r="AN2" i="1" s="1"/>
  <c r="AO2" i="1" s="1"/>
  <c r="AP2" i="1" s="1"/>
  <c r="AQ2" i="1" s="1"/>
  <c r="AR2" i="1" s="1"/>
  <c r="AS2" i="1" s="1"/>
  <c r="AT2" i="1" s="1"/>
  <c r="AU2" i="1" s="1"/>
  <c r="D36" i="1" a="1"/>
  <c r="D36" i="1" s="1"/>
  <c r="D46" i="1" a="1"/>
  <c r="D46" i="1" s="1"/>
  <c r="D7" i="1" a="1"/>
  <c r="D7" i="1" s="1"/>
  <c r="D41" i="1" a="1"/>
  <c r="D41" i="1" s="1"/>
  <c r="D16" i="1" a="1"/>
  <c r="D16" i="1" s="1"/>
  <c r="D31" i="1" a="1"/>
  <c r="D31" i="1" s="1"/>
  <c r="D21" i="1" a="1"/>
  <c r="D21" i="1" s="1"/>
  <c r="D26" i="1" a="1"/>
  <c r="D26" i="1" s="1"/>
  <c r="D11" i="1" a="1"/>
  <c r="D11" i="1" s="1"/>
  <c r="D3" i="1" a="1"/>
  <c r="D3" i="1" s="1"/>
  <c r="E46" i="1"/>
  <c r="E26" i="1"/>
  <c r="E41" i="1"/>
  <c r="E31" i="1"/>
  <c r="E36" i="1"/>
  <c r="E21" i="1"/>
  <c r="E16" i="1"/>
  <c r="E7" i="1"/>
  <c r="E11" i="1"/>
  <c r="E3" i="1"/>
  <c r="H46" i="1"/>
  <c r="H31" i="1"/>
  <c r="H26" i="1"/>
  <c r="H36" i="1"/>
  <c r="H41" i="1"/>
  <c r="H21" i="1"/>
  <c r="H16" i="1"/>
  <c r="H11" i="1"/>
  <c r="H3" i="1"/>
  <c r="H7" i="1"/>
  <c r="P1" i="1" l="1"/>
  <c r="AH1" i="1"/>
  <c r="J1" i="1"/>
  <c r="AB1" i="1"/>
  <c r="O1" i="1"/>
  <c r="AS1" i="1"/>
  <c r="I1" i="1"/>
  <c r="AM1" i="1"/>
  <c r="AA1" i="1"/>
  <c r="U1" i="1"/>
  <c r="AI1" i="1"/>
  <c r="AR1" i="1"/>
  <c r="W1" i="1"/>
  <c r="AF1" i="1"/>
  <c r="K1" i="1"/>
  <c r="T1" i="1"/>
  <c r="AT1" i="1"/>
  <c r="S1" i="1"/>
  <c r="AQ1" i="1"/>
  <c r="V1" i="1"/>
  <c r="R1" i="1"/>
  <c r="AE1" i="1"/>
  <c r="AO1" i="1"/>
  <c r="N1" i="1"/>
  <c r="AK1" i="1"/>
  <c r="AL1" i="1"/>
  <c r="AP1" i="1"/>
  <c r="Z1" i="1"/>
  <c r="AD1" i="1"/>
  <c r="AC1" i="1"/>
  <c r="X1" i="1"/>
  <c r="Y1" i="1"/>
  <c r="Q1" i="1"/>
  <c r="L1" i="1"/>
  <c r="M1" i="1"/>
  <c r="AU1" i="1"/>
  <c r="AN1" i="1"/>
  <c r="AG1" i="1"/>
  <c r="AJ1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<sst xmlns="http://schemas.openxmlformats.org/spreadsheetml/2006/main" count="198" uniqueCount="47">
  <si>
    <t>No.</t>
    <phoneticPr fontId="1"/>
  </si>
  <si>
    <t>項目</t>
    <rPh sb="0" eb="2">
      <t>コウモク</t>
    </rPh>
    <phoneticPr fontId="1"/>
  </si>
  <si>
    <t>開始日</t>
    <rPh sb="0" eb="3">
      <t>カイシビ</t>
    </rPh>
    <phoneticPr fontId="1"/>
  </si>
  <si>
    <t>終了日</t>
    <rPh sb="0" eb="3">
      <t>シュウリョウビ</t>
    </rPh>
    <phoneticPr fontId="1"/>
  </si>
  <si>
    <t>期間</t>
    <rPh sb="0" eb="2">
      <t>キカン</t>
    </rPh>
    <phoneticPr fontId="1"/>
  </si>
  <si>
    <t>進捗率</t>
    <rPh sb="0" eb="2">
      <t>シンチョク</t>
    </rPh>
    <rPh sb="2" eb="3">
      <t>リツ</t>
    </rPh>
    <phoneticPr fontId="1"/>
  </si>
  <si>
    <t>請求明細作成業務簡素化</t>
    <rPh sb="0" eb="4">
      <t>セイキュウメイサイ</t>
    </rPh>
    <rPh sb="4" eb="6">
      <t>サクセイ</t>
    </rPh>
    <rPh sb="6" eb="8">
      <t>ギョウム</t>
    </rPh>
    <rPh sb="8" eb="11">
      <t>カンソカ</t>
    </rPh>
    <phoneticPr fontId="1"/>
  </si>
  <si>
    <t>分類</t>
    <rPh sb="0" eb="2">
      <t>ブンルイ</t>
    </rPh>
    <phoneticPr fontId="1"/>
  </si>
  <si>
    <t>Excelツール</t>
    <phoneticPr fontId="1"/>
  </si>
  <si>
    <t>RPA</t>
    <phoneticPr fontId="1"/>
  </si>
  <si>
    <t>工程</t>
    <rPh sb="0" eb="2">
      <t>コウテイ</t>
    </rPh>
    <phoneticPr fontId="1"/>
  </si>
  <si>
    <t>開発</t>
    <rPh sb="0" eb="2">
      <t>カイハツ</t>
    </rPh>
    <phoneticPr fontId="1"/>
  </si>
  <si>
    <t>トライアル</t>
    <phoneticPr fontId="1"/>
  </si>
  <si>
    <t>運用開始</t>
    <rPh sb="0" eb="4">
      <t>ウンヨウカイシ</t>
    </rPh>
    <phoneticPr fontId="1"/>
  </si>
  <si>
    <t>営業活動履歴アプリ</t>
    <rPh sb="0" eb="4">
      <t>エイギョウカツドウ</t>
    </rPh>
    <rPh sb="4" eb="6">
      <t>リレキ</t>
    </rPh>
    <phoneticPr fontId="1"/>
  </si>
  <si>
    <t>F-Cube見積回答チェック</t>
    <rPh sb="6" eb="8">
      <t>ミツモリ</t>
    </rPh>
    <rPh sb="8" eb="10">
      <t>カイトウ</t>
    </rPh>
    <phoneticPr fontId="1"/>
  </si>
  <si>
    <t>SGX税金・着払運賃請求</t>
    <rPh sb="3" eb="5">
      <t>ゼイキン</t>
    </rPh>
    <rPh sb="6" eb="8">
      <t>チャクバライ</t>
    </rPh>
    <rPh sb="8" eb="10">
      <t>ウンチン</t>
    </rPh>
    <rPh sb="10" eb="12">
      <t>セイキュウ</t>
    </rPh>
    <phoneticPr fontId="1"/>
  </si>
  <si>
    <t>海上輸入自社BL請求登録</t>
    <rPh sb="0" eb="4">
      <t>カイジョウユニュウ</t>
    </rPh>
    <rPh sb="4" eb="6">
      <t>ジシャ</t>
    </rPh>
    <rPh sb="8" eb="12">
      <t>セイキュウトウロク</t>
    </rPh>
    <phoneticPr fontId="1"/>
  </si>
  <si>
    <t>海上輸入他社BL請求登録</t>
    <rPh sb="0" eb="4">
      <t>カイジョウユニュウ</t>
    </rPh>
    <rPh sb="4" eb="6">
      <t>タシャ</t>
    </rPh>
    <rPh sb="8" eb="12">
      <t>セイキュウトウロク</t>
    </rPh>
    <phoneticPr fontId="1"/>
  </si>
  <si>
    <t>海上輸出自社BL請求登録</t>
    <rPh sb="4" eb="6">
      <t>ジシャ</t>
    </rPh>
    <rPh sb="8" eb="12">
      <t>セイキュウトウロク</t>
    </rPh>
    <phoneticPr fontId="1"/>
  </si>
  <si>
    <t>海上輸出他社BL請求登録</t>
    <rPh sb="4" eb="6">
      <t>タシャ</t>
    </rPh>
    <rPh sb="8" eb="12">
      <t>セイキュウトウロク</t>
    </rPh>
    <phoneticPr fontId="1"/>
  </si>
  <si>
    <t>修正申告自動化</t>
    <rPh sb="0" eb="4">
      <t>シュウセイシンコク</t>
    </rPh>
    <rPh sb="4" eb="7">
      <t>ジドウカ</t>
    </rPh>
    <phoneticPr fontId="1"/>
  </si>
  <si>
    <t>ワコール許可情報登録</t>
    <rPh sb="4" eb="8">
      <t>キョカジョウホウ</t>
    </rPh>
    <rPh sb="8" eb="10">
      <t>トウロク</t>
    </rPh>
    <phoneticPr fontId="1"/>
  </si>
  <si>
    <t>絵型取得業務簡素化</t>
    <rPh sb="0" eb="2">
      <t>エガタ</t>
    </rPh>
    <rPh sb="2" eb="4">
      <t>シュトク</t>
    </rPh>
    <rPh sb="4" eb="6">
      <t>ギョウム</t>
    </rPh>
    <rPh sb="6" eb="8">
      <t>カンソ</t>
    </rPh>
    <rPh sb="8" eb="9">
      <t>カ</t>
    </rPh>
    <phoneticPr fontId="1"/>
  </si>
  <si>
    <t>楽々明細アップロード自動化</t>
    <rPh sb="0" eb="4">
      <t>ラクラクメイサイ</t>
    </rPh>
    <rPh sb="10" eb="13">
      <t>ジドウカ</t>
    </rPh>
    <phoneticPr fontId="1"/>
  </si>
  <si>
    <t>CASS原価仕訳明細作成</t>
    <rPh sb="4" eb="6">
      <t>ゲンカ</t>
    </rPh>
    <rPh sb="6" eb="8">
      <t>シワケ</t>
    </rPh>
    <rPh sb="8" eb="10">
      <t>メイサイ</t>
    </rPh>
    <rPh sb="10" eb="12">
      <t>サクセイ</t>
    </rPh>
    <phoneticPr fontId="1"/>
  </si>
  <si>
    <t>環境構築</t>
    <rPh sb="0" eb="4">
      <t>カンキョウコウチク</t>
    </rPh>
    <phoneticPr fontId="1"/>
  </si>
  <si>
    <t>検証環境構築</t>
    <rPh sb="0" eb="2">
      <t>ケンショウ</t>
    </rPh>
    <rPh sb="2" eb="4">
      <t>カンキョウ</t>
    </rPh>
    <rPh sb="4" eb="6">
      <t>コウチク</t>
    </rPh>
    <phoneticPr fontId="1"/>
  </si>
  <si>
    <t>エントリー画面</t>
    <rPh sb="5" eb="7">
      <t>ガメン</t>
    </rPh>
    <phoneticPr fontId="1"/>
  </si>
  <si>
    <t>問合せ画面</t>
    <rPh sb="0" eb="2">
      <t>トイアワ</t>
    </rPh>
    <rPh sb="3" eb="5">
      <t>ガメン</t>
    </rPh>
    <phoneticPr fontId="1"/>
  </si>
  <si>
    <t>大会規定画面</t>
    <rPh sb="0" eb="4">
      <t>タイカイキテイ</t>
    </rPh>
    <rPh sb="4" eb="6">
      <t>ガメン</t>
    </rPh>
    <phoneticPr fontId="1"/>
  </si>
  <si>
    <t>大会概要画面</t>
    <rPh sb="0" eb="4">
      <t>タイカイガイヨウ</t>
    </rPh>
    <rPh sb="4" eb="6">
      <t>ガメン</t>
    </rPh>
    <phoneticPr fontId="1"/>
  </si>
  <si>
    <t>トップページ画面</t>
    <rPh sb="6" eb="8">
      <t>ガメン</t>
    </rPh>
    <phoneticPr fontId="1"/>
  </si>
  <si>
    <t>試合日程画面</t>
    <rPh sb="0" eb="4">
      <t>シアイニッテイ</t>
    </rPh>
    <rPh sb="4" eb="6">
      <t>ガメン</t>
    </rPh>
    <phoneticPr fontId="1"/>
  </si>
  <si>
    <t>試合結果画面</t>
    <rPh sb="0" eb="4">
      <t>シアイケッカ</t>
    </rPh>
    <rPh sb="4" eb="6">
      <t>ガメン</t>
    </rPh>
    <phoneticPr fontId="1"/>
  </si>
  <si>
    <t>チーム管理画面</t>
    <rPh sb="3" eb="5">
      <t>カンリ</t>
    </rPh>
    <rPh sb="5" eb="7">
      <t>ガメン</t>
    </rPh>
    <phoneticPr fontId="1"/>
  </si>
  <si>
    <t>試合管理画面</t>
    <rPh sb="0" eb="6">
      <t>シアイカンリガメン</t>
    </rPh>
    <phoneticPr fontId="1"/>
  </si>
  <si>
    <t>ユーザテスト</t>
    <phoneticPr fontId="1"/>
  </si>
  <si>
    <t>リリース</t>
  </si>
  <si>
    <t>リリース</t>
    <phoneticPr fontId="1"/>
  </si>
  <si>
    <t>検証環境構築</t>
    <rPh sb="0" eb="2">
      <t>ケンショウ</t>
    </rPh>
    <rPh sb="2" eb="6">
      <t>カンキョウコウチク</t>
    </rPh>
    <phoneticPr fontId="1"/>
  </si>
  <si>
    <t>本番環境構築</t>
    <rPh sb="0" eb="6">
      <t>ホンバンカンキョウコウチク</t>
    </rPh>
    <phoneticPr fontId="1"/>
  </si>
  <si>
    <t>本番リリース</t>
    <rPh sb="0" eb="2">
      <t>ホンバン</t>
    </rPh>
    <phoneticPr fontId="1"/>
  </si>
  <si>
    <t>初期データセット</t>
    <rPh sb="0" eb="2">
      <t>ショキ</t>
    </rPh>
    <phoneticPr fontId="1"/>
  </si>
  <si>
    <t>準備</t>
    <rPh sb="0" eb="2">
      <t>ジュンビ</t>
    </rPh>
    <phoneticPr fontId="1"/>
  </si>
  <si>
    <t>受入テスト</t>
    <rPh sb="0" eb="2">
      <t>ウケイレ</t>
    </rPh>
    <phoneticPr fontId="1"/>
  </si>
  <si>
    <t>テスト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</si>
</sst>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&quot;年&quot;"/>
    <numFmt numFmtId="177" formatCode="mm/dd"/>
    <numFmt numFmtId="178" formatCode="0&quot;日&quot;"/>
  </numFmts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0" fillId="0" borderId="1" xfId="0" applyBorder="1">
      <alignment vertical="center"/>
    </xf>
    <xf numFmtId="177" fontId="0" fillId="0" borderId="1" xfId="0" applyNumberFormat="1" applyBorder="1">
      <alignment vertical="center"/>
    </xf>
    <xf numFmtId="0" fontId="0" fillId="0" borderId="0" xfId="0" applyAlignment="1">
      <alignment vertical="center" shrinkToFit="1"/>
    </xf>
    <xf numFmtId="0" fontId="0" fillId="0" borderId="1" xfId="0" applyBorder="1" applyAlignment="1">
      <alignment vertical="center" shrinkToFit="1"/>
    </xf>
    <xf numFmtId="0" fontId="0" fillId="0" borderId="1" xfId="0" applyBorder="1" applyAlignment="1">
      <alignment horizontal="right" vertical="center" shrinkToFit="1"/>
    </xf>
    <xf numFmtId="0" fontId="0" fillId="2" borderId="1" xfId="0" applyFill="1" applyBorder="1" applyAlignment="1">
      <alignment vertical="center" shrinkToFit="1"/>
    </xf>
    <xf numFmtId="9" fontId="0" fillId="2" borderId="1" xfId="0" applyNumberFormat="1" applyFill="1" applyBorder="1" applyAlignment="1">
      <alignment vertical="center" shrinkToFit="1"/>
    </xf>
    <xf numFmtId="56" fontId="0" fillId="2" borderId="1" xfId="0" applyNumberFormat="1" applyFill="1" applyBorder="1" applyAlignment="1">
      <alignment vertical="center" shrinkToFit="1"/>
    </xf>
    <xf numFmtId="178" fontId="0" fillId="2" borderId="1" xfId="0" applyNumberFormat="1" applyFill="1" applyBorder="1" applyAlignment="1">
      <alignment vertical="center" shrinkToFit="1"/>
    </xf>
    <xf numFmtId="9" fontId="0" fillId="0" borderId="1" xfId="0" applyNumberFormat="1" applyBorder="1" applyAlignment="1">
      <alignment vertical="center" shrinkToFit="1"/>
    </xf>
    <xf numFmtId="56" fontId="0" fillId="0" borderId="1" xfId="0" applyNumberFormat="1" applyBorder="1" applyAlignment="1">
      <alignment vertical="center" shrinkToFit="1"/>
    </xf>
    <xf numFmtId="178" fontId="0" fillId="0" borderId="1" xfId="0" applyNumberFormat="1" applyBorder="1" applyAlignment="1">
      <alignment vertical="center" shrinkToFit="1"/>
    </xf>
    <xf numFmtId="176" fontId="0" fillId="0" borderId="0" xfId="0" applyNumberFormat="1" applyAlignment="1">
      <alignment vertical="center" shrinkToFit="1"/>
    </xf>
    <xf numFmtId="177" fontId="0" fillId="0" borderId="1" xfId="0" applyNumberFormat="1" applyBorder="1" applyAlignment="1">
      <alignment vertical="center" shrinkToFit="1"/>
    </xf>
  </cellXfs>
  <cellStyles count="1">
    <cellStyle name="標準" xfId="0" builtinId="0"/>
  </cellStyles>
  <dxfs count="1">
    <dxf>
      <fill>
        <patternFill patternType="lightVertical">
          <bgColor theme="4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6D0404-A500-4F65-B2E3-03183C20941E}">
  <sheetPr codeName="Sheet1">
    <pageSetUpPr fitToPage="1"/>
  </sheetPr>
  <dimension ref="A1:AV71"/>
  <sheetViews>
    <sheetView tabSelected="1" zoomScale="80" zoomScaleNormal="80" workbookViewId="0">
      <pane xSplit="8" ySplit="2" topLeftCell="I3" activePane="bottomRight" state="frozen"/>
      <selection pane="topRight" activeCell="J1" sqref="J1"/>
      <selection pane="bottomLeft" activeCell="A3" sqref="A3"/>
      <selection pane="bottomRight" activeCell="A71" sqref="A71"/>
    </sheetView>
  </sheetViews>
  <sheetFormatPr defaultRowHeight="18.75" outlineLevelRow="1" outlineLevelCol="1" x14ac:dyDescent="0.4"/>
  <cols>
    <col min="1" max="1" width="4.625" style="4" customWidth="1"/>
    <col min="2" max="2" width="12.625" style="4" customWidth="1"/>
    <col min="3" max="3" width="30.625" style="4" hidden="1" customWidth="1" outlineLevel="1"/>
    <col min="4" max="4" width="10.625" style="4" hidden="1" customWidth="1" outlineLevel="1"/>
    <col min="5" max="5" width="6.625" style="4" hidden="1" customWidth="1" outlineLevel="1"/>
    <col min="6" max="6" width="8.625" style="4" customWidth="1" collapsed="1"/>
    <col min="7" max="7" width="8.625" style="4" customWidth="1"/>
    <col min="8" max="8" width="6.625" style="4" hidden="1" customWidth="1" outlineLevel="1"/>
    <col min="9" max="9" width="6.625" style="4" customWidth="1" collapsed="1"/>
    <col min="10" max="19" width="6.625" style="4" customWidth="1"/>
    <col min="20" max="25" width="6.625" customWidth="1"/>
    <col min="26" max="46" width="6.625" hidden="1" customWidth="1" outlineLevel="1"/>
    <col min="47" max="47" width="6.375" hidden="1" customWidth="1" outlineLevel="1"/>
    <col min="48" max="48" width="9" collapsed="1"/>
  </cols>
  <sheetData>
    <row r="1" spans="1:47" x14ac:dyDescent="0.4">
      <c r="E1" s="4">
        <v>10</v>
      </c>
      <c r="I1" s="14">
        <f>$I$2</f>
        <v>45962</v>
      </c>
      <c r="J1" s="14" t="str">
        <f>IF(YEAR(I2)=YEAR(J2),"",J2)</f>
        <v/>
      </c>
      <c r="K1" s="14" t="str">
        <f t="shared" ref="K1:AU1" si="0">IF(YEAR(J2)=YEAR(K2),"",K2)</f>
        <v/>
      </c>
      <c r="L1" s="14" t="str">
        <f t="shared" si="0"/>
        <v/>
      </c>
      <c r="M1" s="14" t="str">
        <f t="shared" si="0"/>
        <v/>
      </c>
      <c r="N1" s="14" t="str">
        <f t="shared" si="0"/>
        <v/>
      </c>
      <c r="O1" s="14" t="str">
        <f t="shared" si="0"/>
        <v/>
      </c>
      <c r="P1" s="14">
        <f t="shared" si="0"/>
        <v>46032</v>
      </c>
      <c r="Q1" s="14" t="str">
        <f t="shared" si="0"/>
        <v/>
      </c>
      <c r="R1" s="14" t="str">
        <f t="shared" si="0"/>
        <v/>
      </c>
      <c r="S1" s="14" t="str">
        <f t="shared" si="0"/>
        <v/>
      </c>
      <c r="T1" s="1" t="str">
        <f t="shared" si="0"/>
        <v/>
      </c>
      <c r="U1" s="1" t="str">
        <f t="shared" si="0"/>
        <v/>
      </c>
      <c r="V1" s="1" t="str">
        <f t="shared" si="0"/>
        <v/>
      </c>
      <c r="W1" s="14" t="str">
        <f t="shared" si="0"/>
        <v/>
      </c>
      <c r="X1" s="1" t="str">
        <f t="shared" si="0"/>
        <v/>
      </c>
      <c r="Y1" s="1" t="str">
        <f t="shared" si="0"/>
        <v/>
      </c>
      <c r="Z1" s="1" t="str">
        <f t="shared" si="0"/>
        <v/>
      </c>
      <c r="AA1" s="1" t="str">
        <f t="shared" si="0"/>
        <v/>
      </c>
      <c r="AB1" s="1" t="str">
        <f t="shared" si="0"/>
        <v/>
      </c>
      <c r="AC1" s="1" t="str">
        <f t="shared" si="0"/>
        <v/>
      </c>
      <c r="AD1" s="1" t="str">
        <f t="shared" si="0"/>
        <v/>
      </c>
      <c r="AE1" s="1" t="str">
        <f t="shared" si="0"/>
        <v/>
      </c>
      <c r="AF1" s="1" t="str">
        <f t="shared" si="0"/>
        <v/>
      </c>
      <c r="AG1" s="1" t="str">
        <f t="shared" si="0"/>
        <v/>
      </c>
      <c r="AH1" s="1" t="str">
        <f t="shared" si="0"/>
        <v/>
      </c>
      <c r="AI1" s="1" t="str">
        <f t="shared" si="0"/>
        <v/>
      </c>
      <c r="AJ1" s="1" t="str">
        <f t="shared" si="0"/>
        <v/>
      </c>
      <c r="AK1" s="1" t="str">
        <f t="shared" si="0"/>
        <v/>
      </c>
      <c r="AL1" s="1" t="str">
        <f t="shared" si="0"/>
        <v/>
      </c>
      <c r="AM1" s="1" t="str">
        <f t="shared" si="0"/>
        <v/>
      </c>
      <c r="AN1" s="1" t="str">
        <f t="shared" si="0"/>
        <v/>
      </c>
      <c r="AO1" s="1" t="str">
        <f t="shared" si="0"/>
        <v/>
      </c>
      <c r="AP1" s="1" t="str">
        <f t="shared" si="0"/>
        <v/>
      </c>
      <c r="AQ1" s="1" t="str">
        <f t="shared" si="0"/>
        <v/>
      </c>
      <c r="AR1" s="1" t="str">
        <f t="shared" si="0"/>
        <v/>
      </c>
      <c r="AS1" s="1" t="str">
        <f t="shared" si="0"/>
        <v/>
      </c>
      <c r="AT1" s="1" t="str">
        <f t="shared" si="0"/>
        <v/>
      </c>
      <c r="AU1" s="1" t="str">
        <f t="shared" si="0"/>
        <v/>
      </c>
    </row>
    <row r="2" spans="1:47" x14ac:dyDescent="0.4">
      <c r="A2" s="5" t="s">
        <v>0</v>
      </c>
      <c r="B2" s="5" t="s">
        <v>7</v>
      </c>
      <c r="C2" s="5" t="s">
        <v>1</v>
      </c>
      <c r="D2" s="5" t="s">
        <v>10</v>
      </c>
      <c r="E2" s="6" t="s">
        <v>5</v>
      </c>
      <c r="F2" s="6" t="s">
        <v>2</v>
      </c>
      <c r="G2" s="6" t="s">
        <v>3</v>
      </c>
      <c r="H2" s="6" t="s">
        <v>4</v>
      </c>
      <c r="I2" s="15">
        <f>MIN(F:F)</f>
        <v>45962</v>
      </c>
      <c r="J2" s="15">
        <f>I2+$E$1</f>
        <v>45972</v>
      </c>
      <c r="K2" s="15">
        <f t="shared" ref="K2:AU2" si="1">J2+$E$1</f>
        <v>45982</v>
      </c>
      <c r="L2" s="15">
        <f t="shared" si="1"/>
        <v>45992</v>
      </c>
      <c r="M2" s="15">
        <f t="shared" si="1"/>
        <v>46002</v>
      </c>
      <c r="N2" s="15">
        <f t="shared" si="1"/>
        <v>46012</v>
      </c>
      <c r="O2" s="15">
        <f t="shared" si="1"/>
        <v>46022</v>
      </c>
      <c r="P2" s="15">
        <f t="shared" si="1"/>
        <v>46032</v>
      </c>
      <c r="Q2" s="15">
        <f t="shared" si="1"/>
        <v>46042</v>
      </c>
      <c r="R2" s="15">
        <f t="shared" si="1"/>
        <v>46052</v>
      </c>
      <c r="S2" s="15">
        <f t="shared" si="1"/>
        <v>46062</v>
      </c>
      <c r="T2" s="3">
        <f t="shared" si="1"/>
        <v>46072</v>
      </c>
      <c r="U2" s="3">
        <f t="shared" si="1"/>
        <v>46082</v>
      </c>
      <c r="V2" s="3">
        <f t="shared" si="1"/>
        <v>46092</v>
      </c>
      <c r="W2" s="3">
        <f t="shared" si="1"/>
        <v>46102</v>
      </c>
      <c r="X2" s="3">
        <f t="shared" si="1"/>
        <v>46112</v>
      </c>
      <c r="Y2" s="3">
        <f t="shared" si="1"/>
        <v>46122</v>
      </c>
      <c r="Z2" s="3">
        <f t="shared" si="1"/>
        <v>46132</v>
      </c>
      <c r="AA2" s="3">
        <f t="shared" si="1"/>
        <v>46142</v>
      </c>
      <c r="AB2" s="3">
        <f t="shared" si="1"/>
        <v>46152</v>
      </c>
      <c r="AC2" s="3">
        <f t="shared" si="1"/>
        <v>46162</v>
      </c>
      <c r="AD2" s="3">
        <f t="shared" si="1"/>
        <v>46172</v>
      </c>
      <c r="AE2" s="3">
        <f t="shared" si="1"/>
        <v>46182</v>
      </c>
      <c r="AF2" s="3">
        <f t="shared" si="1"/>
        <v>46192</v>
      </c>
      <c r="AG2" s="3">
        <f t="shared" si="1"/>
        <v>46202</v>
      </c>
      <c r="AH2" s="3">
        <f t="shared" si="1"/>
        <v>46212</v>
      </c>
      <c r="AI2" s="3">
        <f t="shared" si="1"/>
        <v>46222</v>
      </c>
      <c r="AJ2" s="3">
        <f t="shared" si="1"/>
        <v>46232</v>
      </c>
      <c r="AK2" s="3">
        <f t="shared" si="1"/>
        <v>46242</v>
      </c>
      <c r="AL2" s="3">
        <f t="shared" si="1"/>
        <v>46252</v>
      </c>
      <c r="AM2" s="3">
        <f t="shared" si="1"/>
        <v>46262</v>
      </c>
      <c r="AN2" s="3">
        <f t="shared" si="1"/>
        <v>46272</v>
      </c>
      <c r="AO2" s="3">
        <f t="shared" si="1"/>
        <v>46282</v>
      </c>
      <c r="AP2" s="3">
        <f t="shared" si="1"/>
        <v>46292</v>
      </c>
      <c r="AQ2" s="3">
        <f t="shared" si="1"/>
        <v>46302</v>
      </c>
      <c r="AR2" s="3">
        <f t="shared" si="1"/>
        <v>46312</v>
      </c>
      <c r="AS2" s="3">
        <f t="shared" si="1"/>
        <v>46322</v>
      </c>
      <c r="AT2" s="3">
        <f t="shared" si="1"/>
        <v>46332</v>
      </c>
      <c r="AU2" s="3">
        <f t="shared" si="1"/>
        <v>46342</v>
      </c>
    </row>
    <row r="3" spans="1:47" x14ac:dyDescent="0.4">
      <c r="A3" s="7">
        <f>ROW()-2</f>
        <v>1</v>
      </c>
      <c r="B3" s="7" t="s">
        <v>40</v>
      </c>
      <c r="C3" s="7" t="s">
        <v>26</v>
      </c>
      <c r="D3" s="7" t="str" cm="1">
        <f t="array" aca="1" ref="D3" ca="1">_xlfn.IFS(E4&lt;1,D4&amp; "中",E5&lt;1,D5&amp; "中",E6&lt;1,D6&amp; "中",TRUE,"完了")</f>
        <v>完了</v>
      </c>
      <c r="E3" s="8">
        <f ca="1">AVERAGE(E4:E6)</f>
        <v>1</v>
      </c>
      <c r="F3" s="9">
        <f>MIN(F4:F6)</f>
        <v>45962</v>
      </c>
      <c r="G3" s="9">
        <f>MAX(G4:G6)</f>
        <v>45991</v>
      </c>
      <c r="H3" s="10">
        <f>SUM(H4:H6)</f>
        <v>63</v>
      </c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</row>
    <row r="4" spans="1:47" hidden="1" outlineLevel="1" x14ac:dyDescent="0.4">
      <c r="A4" s="5">
        <f>ROW()-2</f>
        <v>2</v>
      </c>
      <c r="B4" s="5" t="s">
        <v>8</v>
      </c>
      <c r="C4" s="5" t="s">
        <v>27</v>
      </c>
      <c r="D4" s="5" t="s">
        <v>44</v>
      </c>
      <c r="E4" s="11">
        <f ca="1">IF((NOW()-F4)/(G4-F4)&gt;1,1,IF((NOW()-F4)/(G4-F4)&lt;0,0,(NOW()-F4)/(G4-F4)))</f>
        <v>1</v>
      </c>
      <c r="F4" s="12">
        <v>45962</v>
      </c>
      <c r="G4" s="12">
        <v>45991</v>
      </c>
      <c r="H4" s="13">
        <f>NETWORKDAYS(F4,G4)+1</f>
        <v>21</v>
      </c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</row>
    <row r="5" spans="1:47" hidden="1" outlineLevel="1" x14ac:dyDescent="0.4">
      <c r="A5" s="5">
        <f t="shared" ref="A5:A70" si="2">ROW()-2</f>
        <v>3</v>
      </c>
      <c r="B5" s="5" t="s">
        <v>8</v>
      </c>
      <c r="C5" s="5" t="s">
        <v>6</v>
      </c>
      <c r="D5" s="5" t="s">
        <v>12</v>
      </c>
      <c r="E5" s="11">
        <f t="shared" ref="E5:E70" ca="1" si="3">IF((NOW()-F5)/(G5-F5)&gt;1,1,IF((NOW()-F5)/(G5-F5)&lt;0,0,(NOW()-F5)/(G5-F5)))</f>
        <v>1</v>
      </c>
      <c r="F5" s="12">
        <v>45962</v>
      </c>
      <c r="G5" s="12">
        <v>45991</v>
      </c>
      <c r="H5" s="13">
        <f t="shared" ref="H5:H15" si="4">NETWORKDAYS(F5,G5)+1</f>
        <v>21</v>
      </c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</row>
    <row r="6" spans="1:47" hidden="1" outlineLevel="1" x14ac:dyDescent="0.4">
      <c r="A6" s="5">
        <f t="shared" si="2"/>
        <v>4</v>
      </c>
      <c r="B6" s="5" t="s">
        <v>8</v>
      </c>
      <c r="C6" s="5" t="s">
        <v>6</v>
      </c>
      <c r="D6" s="5" t="s">
        <v>13</v>
      </c>
      <c r="E6" s="11">
        <f t="shared" ca="1" si="3"/>
        <v>1</v>
      </c>
      <c r="F6" s="12">
        <v>45962</v>
      </c>
      <c r="G6" s="12">
        <v>45991</v>
      </c>
      <c r="H6" s="13">
        <f t="shared" si="4"/>
        <v>21</v>
      </c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</row>
    <row r="7" spans="1:47" collapsed="1" x14ac:dyDescent="0.4">
      <c r="A7" s="7">
        <v>2</v>
      </c>
      <c r="B7" s="7" t="s">
        <v>32</v>
      </c>
      <c r="C7" s="7" t="s">
        <v>24</v>
      </c>
      <c r="D7" s="7" t="str" cm="1">
        <f t="array" aca="1" ref="D7" ca="1">_xlfn.IFS(E8&lt;1,D8&amp; "中",E9&lt;1,D9&amp; "中",E10&lt;1,D10&amp; "中",TRUE,"完了")</f>
        <v>完了</v>
      </c>
      <c r="E7" s="8">
        <f ca="1">AVERAGE(E8:E10)</f>
        <v>1</v>
      </c>
      <c r="F7" s="9">
        <f>MIN(F8:F10)</f>
        <v>45992</v>
      </c>
      <c r="G7" s="9">
        <f>MAX(G8:G10)</f>
        <v>46001</v>
      </c>
      <c r="H7" s="10">
        <f>SUM(H8:H10)</f>
        <v>27</v>
      </c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</row>
    <row r="8" spans="1:47" hidden="1" outlineLevel="1" x14ac:dyDescent="0.4">
      <c r="A8" s="5">
        <f t="shared" si="2"/>
        <v>6</v>
      </c>
      <c r="B8" s="5" t="s">
        <v>9</v>
      </c>
      <c r="C8" s="5" t="s">
        <v>24</v>
      </c>
      <c r="D8" s="5" t="s">
        <v>44</v>
      </c>
      <c r="E8" s="11">
        <f t="shared" ca="1" si="3"/>
        <v>1</v>
      </c>
      <c r="F8" s="12">
        <v>45992</v>
      </c>
      <c r="G8" s="12">
        <v>46001</v>
      </c>
      <c r="H8" s="13">
        <f t="shared" si="4"/>
        <v>9</v>
      </c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</row>
    <row r="9" spans="1:47" hidden="1" outlineLevel="1" x14ac:dyDescent="0.4">
      <c r="A9" s="5">
        <f t="shared" si="2"/>
        <v>7</v>
      </c>
      <c r="B9" s="5" t="s">
        <v>9</v>
      </c>
      <c r="C9" s="5" t="s">
        <v>24</v>
      </c>
      <c r="D9" s="5" t="s">
        <v>12</v>
      </c>
      <c r="E9" s="11">
        <f t="shared" ca="1" si="3"/>
        <v>1</v>
      </c>
      <c r="F9" s="12">
        <v>45992</v>
      </c>
      <c r="G9" s="12">
        <v>46001</v>
      </c>
      <c r="H9" s="13">
        <f t="shared" si="4"/>
        <v>9</v>
      </c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</row>
    <row r="10" spans="1:47" hidden="1" outlineLevel="1" x14ac:dyDescent="0.4">
      <c r="A10" s="5">
        <f>ROW()-2</f>
        <v>8</v>
      </c>
      <c r="B10" s="5" t="s">
        <v>9</v>
      </c>
      <c r="C10" s="5" t="s">
        <v>24</v>
      </c>
      <c r="D10" s="5" t="s">
        <v>13</v>
      </c>
      <c r="E10" s="11">
        <f t="shared" ca="1" si="3"/>
        <v>1</v>
      </c>
      <c r="F10" s="12">
        <v>45992</v>
      </c>
      <c r="G10" s="12">
        <v>46001</v>
      </c>
      <c r="H10" s="13">
        <f t="shared" si="4"/>
        <v>9</v>
      </c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</row>
    <row r="11" spans="1:47" collapsed="1" x14ac:dyDescent="0.4">
      <c r="A11" s="7">
        <v>3</v>
      </c>
      <c r="B11" s="7" t="s">
        <v>31</v>
      </c>
      <c r="C11" s="7" t="s">
        <v>31</v>
      </c>
      <c r="D11" s="7" t="str" cm="1">
        <f t="array" aca="1" ref="D11" ca="1">_xlfn.IFS(E12&lt;1,D12&amp; "中",E13&lt;1,D13&amp; "中",E14&lt;1,D14&amp; "中",TRUE,"完了")</f>
        <v>完了</v>
      </c>
      <c r="E11" s="8">
        <f ca="1">AVERAGE(E12:E15)</f>
        <v>1</v>
      </c>
      <c r="F11" s="9">
        <f>MIN(F12:F15)</f>
        <v>46002</v>
      </c>
      <c r="G11" s="9">
        <f>MAX(G12:G15)</f>
        <v>46011</v>
      </c>
      <c r="H11" s="10">
        <f>SUM(H12:H15)</f>
        <v>32</v>
      </c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</row>
    <row r="12" spans="1:47" hidden="1" outlineLevel="1" x14ac:dyDescent="0.4">
      <c r="A12" s="5">
        <f t="shared" si="2"/>
        <v>10</v>
      </c>
      <c r="B12" s="5" t="s">
        <v>9</v>
      </c>
      <c r="C12" s="5" t="s">
        <v>25</v>
      </c>
      <c r="D12" s="5" t="s">
        <v>44</v>
      </c>
      <c r="E12" s="11">
        <f t="shared" ca="1" si="3"/>
        <v>1</v>
      </c>
      <c r="F12" s="12">
        <v>46002</v>
      </c>
      <c r="G12" s="12">
        <v>46011</v>
      </c>
      <c r="H12" s="13">
        <f t="shared" si="4"/>
        <v>8</v>
      </c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</row>
    <row r="13" spans="1:47" hidden="1" outlineLevel="1" x14ac:dyDescent="0.4">
      <c r="A13" s="5">
        <f t="shared" si="2"/>
        <v>11</v>
      </c>
      <c r="B13" s="5" t="s">
        <v>9</v>
      </c>
      <c r="C13" s="5" t="s">
        <v>25</v>
      </c>
      <c r="D13" s="5" t="s">
        <v>11</v>
      </c>
      <c r="E13" s="11">
        <f t="shared" ca="1" si="3"/>
        <v>1</v>
      </c>
      <c r="F13" s="12">
        <v>46002</v>
      </c>
      <c r="G13" s="12">
        <v>46011</v>
      </c>
      <c r="H13" s="13">
        <f t="shared" si="4"/>
        <v>8</v>
      </c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</row>
    <row r="14" spans="1:47" hidden="1" outlineLevel="1" x14ac:dyDescent="0.4">
      <c r="A14" s="5">
        <f t="shared" si="2"/>
        <v>12</v>
      </c>
      <c r="B14" s="5" t="s">
        <v>9</v>
      </c>
      <c r="C14" s="5" t="s">
        <v>25</v>
      </c>
      <c r="D14" s="5" t="s">
        <v>12</v>
      </c>
      <c r="E14" s="11">
        <f t="shared" ca="1" si="3"/>
        <v>1</v>
      </c>
      <c r="F14" s="12">
        <v>46002</v>
      </c>
      <c r="G14" s="12">
        <v>46011</v>
      </c>
      <c r="H14" s="13">
        <f t="shared" si="4"/>
        <v>8</v>
      </c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</row>
    <row r="15" spans="1:47" hidden="1" outlineLevel="1" x14ac:dyDescent="0.4">
      <c r="A15" s="5">
        <f t="shared" si="2"/>
        <v>13</v>
      </c>
      <c r="B15" s="5" t="s">
        <v>9</v>
      </c>
      <c r="C15" s="5" t="s">
        <v>25</v>
      </c>
      <c r="D15" s="5" t="s">
        <v>13</v>
      </c>
      <c r="E15" s="11">
        <f t="shared" ca="1" si="3"/>
        <v>1</v>
      </c>
      <c r="F15" s="12">
        <v>46002</v>
      </c>
      <c r="G15" s="12">
        <v>46011</v>
      </c>
      <c r="H15" s="13">
        <f t="shared" si="4"/>
        <v>8</v>
      </c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</row>
    <row r="16" spans="1:47" collapsed="1" x14ac:dyDescent="0.4">
      <c r="A16" s="7">
        <v>4</v>
      </c>
      <c r="B16" s="7" t="s">
        <v>30</v>
      </c>
      <c r="C16" s="7" t="s">
        <v>30</v>
      </c>
      <c r="D16" s="7" t="str" cm="1">
        <f t="array" aca="1" ref="D16" ca="1">_xlfn.IFS(E17&lt;1,D17&amp; "中",E18&lt;1,D18&amp; "中",E19&lt;1,D19&amp; "中",TRUE,"完了")</f>
        <v>準備中</v>
      </c>
      <c r="E16" s="8">
        <f ca="1">AVERAGE(E17:E20)</f>
        <v>0.86911786265409319</v>
      </c>
      <c r="F16" s="9">
        <f>MIN(F17:F20)</f>
        <v>46012</v>
      </c>
      <c r="G16" s="9">
        <f>MAX(G17:G20)</f>
        <v>46021</v>
      </c>
      <c r="H16" s="10">
        <f>SUM(H17:H20)</f>
        <v>32</v>
      </c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</row>
    <row r="17" spans="1:47" hidden="1" outlineLevel="1" x14ac:dyDescent="0.4">
      <c r="A17" s="5">
        <f t="shared" si="2"/>
        <v>15</v>
      </c>
      <c r="B17" s="5" t="s">
        <v>9</v>
      </c>
      <c r="C17" s="5" t="s">
        <v>15</v>
      </c>
      <c r="D17" s="5" t="s">
        <v>44</v>
      </c>
      <c r="E17" s="11">
        <f t="shared" ca="1" si="3"/>
        <v>0.86911786265409319</v>
      </c>
      <c r="F17" s="12">
        <v>46012</v>
      </c>
      <c r="G17" s="12">
        <v>46021</v>
      </c>
      <c r="H17" s="13">
        <f t="shared" ref="H17:H25" si="5">NETWORKDAYS(F17,G17)+1</f>
        <v>8</v>
      </c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</row>
    <row r="18" spans="1:47" hidden="1" outlineLevel="1" x14ac:dyDescent="0.4">
      <c r="A18" s="5">
        <f t="shared" si="2"/>
        <v>16</v>
      </c>
      <c r="B18" s="5" t="s">
        <v>9</v>
      </c>
      <c r="C18" s="5" t="s">
        <v>15</v>
      </c>
      <c r="D18" s="5" t="s">
        <v>11</v>
      </c>
      <c r="E18" s="11">
        <f t="shared" ca="1" si="3"/>
        <v>0.86911786265409319</v>
      </c>
      <c r="F18" s="12">
        <v>46012</v>
      </c>
      <c r="G18" s="12">
        <v>46021</v>
      </c>
      <c r="H18" s="13">
        <f t="shared" si="5"/>
        <v>8</v>
      </c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</row>
    <row r="19" spans="1:47" hidden="1" outlineLevel="1" x14ac:dyDescent="0.4">
      <c r="A19" s="5">
        <f t="shared" si="2"/>
        <v>17</v>
      </c>
      <c r="B19" s="5" t="s">
        <v>9</v>
      </c>
      <c r="C19" s="5" t="s">
        <v>15</v>
      </c>
      <c r="D19" s="5" t="s">
        <v>12</v>
      </c>
      <c r="E19" s="11">
        <f t="shared" ca="1" si="3"/>
        <v>0.86911786265409319</v>
      </c>
      <c r="F19" s="12">
        <v>46012</v>
      </c>
      <c r="G19" s="12">
        <v>46021</v>
      </c>
      <c r="H19" s="13">
        <f t="shared" si="5"/>
        <v>8</v>
      </c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</row>
    <row r="20" spans="1:47" hidden="1" outlineLevel="1" x14ac:dyDescent="0.4">
      <c r="A20" s="5">
        <f t="shared" si="2"/>
        <v>18</v>
      </c>
      <c r="B20" s="5" t="s">
        <v>9</v>
      </c>
      <c r="C20" s="5" t="s">
        <v>15</v>
      </c>
      <c r="D20" s="5" t="s">
        <v>13</v>
      </c>
      <c r="E20" s="11">
        <f t="shared" ca="1" si="3"/>
        <v>0.86911786265409319</v>
      </c>
      <c r="F20" s="12">
        <v>46012</v>
      </c>
      <c r="G20" s="12">
        <v>46021</v>
      </c>
      <c r="H20" s="13">
        <f t="shared" si="5"/>
        <v>8</v>
      </c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</row>
    <row r="21" spans="1:47" collapsed="1" x14ac:dyDescent="0.4">
      <c r="A21" s="7">
        <v>5</v>
      </c>
      <c r="B21" s="7" t="s">
        <v>28</v>
      </c>
      <c r="C21" s="7" t="s">
        <v>28</v>
      </c>
      <c r="D21" s="7" t="str" cm="1">
        <f t="array" aca="1" ref="D21" ca="1">_xlfn.IFS(E22&lt;1,D22&amp; "中",E23&lt;1,D23&amp; "中",E24&lt;1,D24&amp; "中",TRUE,"完了")</f>
        <v>準備中</v>
      </c>
      <c r="E21" s="8">
        <f ca="1">AVERAGE(E22:E25)</f>
        <v>0</v>
      </c>
      <c r="F21" s="9">
        <f>MIN(F22:F25)</f>
        <v>46023</v>
      </c>
      <c r="G21" s="9">
        <f>MAX(G22:G25)</f>
        <v>46032</v>
      </c>
      <c r="H21" s="10">
        <f>SUM(H22:H25)</f>
        <v>32</v>
      </c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</row>
    <row r="22" spans="1:47" hidden="1" outlineLevel="1" x14ac:dyDescent="0.4">
      <c r="A22" s="5">
        <f t="shared" si="2"/>
        <v>20</v>
      </c>
      <c r="B22" s="5" t="s">
        <v>9</v>
      </c>
      <c r="C22" s="5" t="s">
        <v>16</v>
      </c>
      <c r="D22" s="5" t="s">
        <v>44</v>
      </c>
      <c r="E22" s="11">
        <f t="shared" ca="1" si="3"/>
        <v>0</v>
      </c>
      <c r="F22" s="12">
        <v>46023</v>
      </c>
      <c r="G22" s="12">
        <v>46032</v>
      </c>
      <c r="H22" s="13">
        <f t="shared" si="5"/>
        <v>8</v>
      </c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</row>
    <row r="23" spans="1:47" hidden="1" outlineLevel="1" x14ac:dyDescent="0.4">
      <c r="A23" s="5">
        <f t="shared" si="2"/>
        <v>21</v>
      </c>
      <c r="B23" s="5" t="s">
        <v>9</v>
      </c>
      <c r="C23" s="5" t="s">
        <v>16</v>
      </c>
      <c r="D23" s="5" t="s">
        <v>11</v>
      </c>
      <c r="E23" s="11">
        <f t="shared" ca="1" si="3"/>
        <v>0</v>
      </c>
      <c r="F23" s="12">
        <v>46023</v>
      </c>
      <c r="G23" s="12">
        <v>46032</v>
      </c>
      <c r="H23" s="13">
        <f t="shared" si="5"/>
        <v>8</v>
      </c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</row>
    <row r="24" spans="1:47" hidden="1" outlineLevel="1" x14ac:dyDescent="0.4">
      <c r="A24" s="5">
        <f t="shared" si="2"/>
        <v>22</v>
      </c>
      <c r="B24" s="5" t="s">
        <v>9</v>
      </c>
      <c r="C24" s="5" t="s">
        <v>16</v>
      </c>
      <c r="D24" s="5" t="s">
        <v>12</v>
      </c>
      <c r="E24" s="11">
        <f t="shared" ca="1" si="3"/>
        <v>0</v>
      </c>
      <c r="F24" s="12">
        <v>46023</v>
      </c>
      <c r="G24" s="12">
        <v>46032</v>
      </c>
      <c r="H24" s="13">
        <f t="shared" si="5"/>
        <v>8</v>
      </c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</row>
    <row r="25" spans="1:47" hidden="1" outlineLevel="1" x14ac:dyDescent="0.4">
      <c r="A25" s="5">
        <f t="shared" si="2"/>
        <v>23</v>
      </c>
      <c r="B25" s="5" t="s">
        <v>9</v>
      </c>
      <c r="C25" s="5" t="s">
        <v>16</v>
      </c>
      <c r="D25" s="5" t="s">
        <v>13</v>
      </c>
      <c r="E25" s="11">
        <f t="shared" ca="1" si="3"/>
        <v>0</v>
      </c>
      <c r="F25" s="12">
        <v>46023</v>
      </c>
      <c r="G25" s="12">
        <v>46032</v>
      </c>
      <c r="H25" s="13">
        <f t="shared" si="5"/>
        <v>8</v>
      </c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</row>
    <row r="26" spans="1:47" collapsed="1" x14ac:dyDescent="0.4">
      <c r="A26" s="7">
        <v>6</v>
      </c>
      <c r="B26" s="7" t="s">
        <v>29</v>
      </c>
      <c r="C26" s="7" t="s">
        <v>29</v>
      </c>
      <c r="D26" s="7" t="str" cm="1">
        <f t="array" aca="1" ref="D26" ca="1">_xlfn.IFS(E27&lt;1,D27&amp; "中",E28&lt;1,D28&amp; "中",E29&lt;1,D29&amp; "中",TRUE,"完了")</f>
        <v>準備中</v>
      </c>
      <c r="E26" s="8">
        <f ca="1">AVERAGE(E27:E30)</f>
        <v>0</v>
      </c>
      <c r="F26" s="9">
        <f>MIN(F27:F30)</f>
        <v>46033</v>
      </c>
      <c r="G26" s="9">
        <f>MAX(G27:G30)</f>
        <v>46042</v>
      </c>
      <c r="H26" s="10">
        <f>SUM(H27:H30)</f>
        <v>32</v>
      </c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</row>
    <row r="27" spans="1:47" hidden="1" outlineLevel="1" x14ac:dyDescent="0.4">
      <c r="A27" s="5">
        <f t="shared" si="2"/>
        <v>25</v>
      </c>
      <c r="B27" s="5" t="s">
        <v>9</v>
      </c>
      <c r="C27" s="5" t="s">
        <v>17</v>
      </c>
      <c r="D27" s="5" t="s">
        <v>44</v>
      </c>
      <c r="E27" s="11">
        <f t="shared" ca="1" si="3"/>
        <v>0</v>
      </c>
      <c r="F27" s="12">
        <v>46033</v>
      </c>
      <c r="G27" s="12">
        <v>46042</v>
      </c>
      <c r="H27" s="13">
        <f t="shared" ref="H27:H30" si="6">NETWORKDAYS(F27,G27)+1</f>
        <v>8</v>
      </c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</row>
    <row r="28" spans="1:47" hidden="1" outlineLevel="1" x14ac:dyDescent="0.4">
      <c r="A28" s="5">
        <f t="shared" si="2"/>
        <v>26</v>
      </c>
      <c r="B28" s="5" t="s">
        <v>9</v>
      </c>
      <c r="C28" s="5" t="s">
        <v>17</v>
      </c>
      <c r="D28" s="5" t="s">
        <v>11</v>
      </c>
      <c r="E28" s="11">
        <f t="shared" ca="1" si="3"/>
        <v>0</v>
      </c>
      <c r="F28" s="12">
        <v>46033</v>
      </c>
      <c r="G28" s="12">
        <v>46042</v>
      </c>
      <c r="H28" s="13">
        <f t="shared" si="6"/>
        <v>8</v>
      </c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</row>
    <row r="29" spans="1:47" hidden="1" outlineLevel="1" x14ac:dyDescent="0.4">
      <c r="A29" s="5">
        <f t="shared" si="2"/>
        <v>27</v>
      </c>
      <c r="B29" s="5" t="s">
        <v>9</v>
      </c>
      <c r="C29" s="5" t="s">
        <v>17</v>
      </c>
      <c r="D29" s="5" t="s">
        <v>12</v>
      </c>
      <c r="E29" s="11">
        <f t="shared" ca="1" si="3"/>
        <v>0</v>
      </c>
      <c r="F29" s="12">
        <v>46033</v>
      </c>
      <c r="G29" s="12">
        <v>46042</v>
      </c>
      <c r="H29" s="13">
        <f t="shared" si="6"/>
        <v>8</v>
      </c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</row>
    <row r="30" spans="1:47" hidden="1" outlineLevel="1" x14ac:dyDescent="0.4">
      <c r="A30" s="5">
        <f t="shared" si="2"/>
        <v>28</v>
      </c>
      <c r="B30" s="5" t="s">
        <v>9</v>
      </c>
      <c r="C30" s="5" t="s">
        <v>17</v>
      </c>
      <c r="D30" s="5" t="s">
        <v>13</v>
      </c>
      <c r="E30" s="11">
        <f t="shared" ca="1" si="3"/>
        <v>0</v>
      </c>
      <c r="F30" s="12">
        <v>46033</v>
      </c>
      <c r="G30" s="12">
        <v>46042</v>
      </c>
      <c r="H30" s="13">
        <f t="shared" si="6"/>
        <v>8</v>
      </c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</row>
    <row r="31" spans="1:47" collapsed="1" x14ac:dyDescent="0.4">
      <c r="A31" s="7">
        <v>7</v>
      </c>
      <c r="B31" s="7" t="s">
        <v>33</v>
      </c>
      <c r="C31" s="7" t="s">
        <v>33</v>
      </c>
      <c r="D31" s="7" t="str" cm="1">
        <f t="array" aca="1" ref="D31" ca="1">_xlfn.IFS(E32&lt;1,D32&amp; "中",E33&lt;1,D33&amp; "中",E34&lt;1,D34&amp; "中",TRUE,"完了")</f>
        <v>準備中</v>
      </c>
      <c r="E31" s="8">
        <f ca="1">AVERAGE(E32:E35)</f>
        <v>0</v>
      </c>
      <c r="F31" s="9">
        <f>MIN(F32:F35)</f>
        <v>46043</v>
      </c>
      <c r="G31" s="9">
        <f>MAX(G32:G35)</f>
        <v>46052</v>
      </c>
      <c r="H31" s="10">
        <f>SUM(H32:H35)</f>
        <v>36</v>
      </c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</row>
    <row r="32" spans="1:47" hidden="1" outlineLevel="1" x14ac:dyDescent="0.4">
      <c r="A32" s="5">
        <f t="shared" si="2"/>
        <v>30</v>
      </c>
      <c r="B32" s="5" t="s">
        <v>9</v>
      </c>
      <c r="C32" s="5" t="s">
        <v>18</v>
      </c>
      <c r="D32" s="5" t="s">
        <v>44</v>
      </c>
      <c r="E32" s="11">
        <f t="shared" ca="1" si="3"/>
        <v>0</v>
      </c>
      <c r="F32" s="12">
        <v>46043</v>
      </c>
      <c r="G32" s="12">
        <v>46052</v>
      </c>
      <c r="H32" s="13">
        <f t="shared" ref="H32:H35" si="7">NETWORKDAYS(F32,G32)+1</f>
        <v>9</v>
      </c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</row>
    <row r="33" spans="1:47" hidden="1" outlineLevel="1" x14ac:dyDescent="0.4">
      <c r="A33" s="5">
        <f t="shared" si="2"/>
        <v>31</v>
      </c>
      <c r="B33" s="5" t="s">
        <v>9</v>
      </c>
      <c r="C33" s="5" t="s">
        <v>18</v>
      </c>
      <c r="D33" s="5" t="s">
        <v>11</v>
      </c>
      <c r="E33" s="11">
        <f t="shared" ca="1" si="3"/>
        <v>0</v>
      </c>
      <c r="F33" s="12">
        <v>46043</v>
      </c>
      <c r="G33" s="12">
        <v>46052</v>
      </c>
      <c r="H33" s="13">
        <f t="shared" si="7"/>
        <v>9</v>
      </c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</row>
    <row r="34" spans="1:47" hidden="1" outlineLevel="1" x14ac:dyDescent="0.4">
      <c r="A34" s="5">
        <f t="shared" si="2"/>
        <v>32</v>
      </c>
      <c r="B34" s="5" t="s">
        <v>9</v>
      </c>
      <c r="C34" s="5" t="s">
        <v>18</v>
      </c>
      <c r="D34" s="5" t="s">
        <v>12</v>
      </c>
      <c r="E34" s="11">
        <f t="shared" ca="1" si="3"/>
        <v>0</v>
      </c>
      <c r="F34" s="12">
        <v>46043</v>
      </c>
      <c r="G34" s="12">
        <v>46052</v>
      </c>
      <c r="H34" s="13">
        <f t="shared" si="7"/>
        <v>9</v>
      </c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</row>
    <row r="35" spans="1:47" hidden="1" outlineLevel="1" x14ac:dyDescent="0.4">
      <c r="A35" s="5">
        <f t="shared" si="2"/>
        <v>33</v>
      </c>
      <c r="B35" s="5" t="s">
        <v>9</v>
      </c>
      <c r="C35" s="5" t="s">
        <v>18</v>
      </c>
      <c r="D35" s="5" t="s">
        <v>13</v>
      </c>
      <c r="E35" s="11">
        <f t="shared" ca="1" si="3"/>
        <v>0</v>
      </c>
      <c r="F35" s="12">
        <v>46043</v>
      </c>
      <c r="G35" s="12">
        <v>46052</v>
      </c>
      <c r="H35" s="13">
        <f t="shared" si="7"/>
        <v>9</v>
      </c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</row>
    <row r="36" spans="1:47" collapsed="1" x14ac:dyDescent="0.4">
      <c r="A36" s="7">
        <v>8</v>
      </c>
      <c r="B36" s="7" t="s">
        <v>34</v>
      </c>
      <c r="C36" s="7" t="s">
        <v>34</v>
      </c>
      <c r="D36" s="7" t="str" cm="1">
        <f t="array" aca="1" ref="D36" ca="1">_xlfn.IFS(E37&lt;1,D37&amp; "中",E38&lt;1,D38&amp; "中",E39&lt;1,D39&amp; "中",TRUE,"完了")</f>
        <v>準備中</v>
      </c>
      <c r="E36" s="8">
        <f ca="1">AVERAGE(E37:E40)</f>
        <v>0</v>
      </c>
      <c r="F36" s="9">
        <f>MIN(F37:F40)</f>
        <v>46054</v>
      </c>
      <c r="G36" s="9">
        <f>MAX(G37:G40)</f>
        <v>46063</v>
      </c>
      <c r="H36" s="10">
        <f>SUM(H37:H40)</f>
        <v>32</v>
      </c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</row>
    <row r="37" spans="1:47" hidden="1" outlineLevel="1" x14ac:dyDescent="0.4">
      <c r="A37" s="5">
        <f t="shared" si="2"/>
        <v>35</v>
      </c>
      <c r="B37" s="5" t="s">
        <v>9</v>
      </c>
      <c r="C37" s="5" t="s">
        <v>19</v>
      </c>
      <c r="D37" s="5" t="s">
        <v>44</v>
      </c>
      <c r="E37" s="11">
        <f t="shared" ca="1" si="3"/>
        <v>0</v>
      </c>
      <c r="F37" s="12">
        <v>46054</v>
      </c>
      <c r="G37" s="12">
        <v>46063</v>
      </c>
      <c r="H37" s="13">
        <f t="shared" ref="H37:H40" si="8">NETWORKDAYS(F37,G37)+1</f>
        <v>8</v>
      </c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</row>
    <row r="38" spans="1:47" hidden="1" outlineLevel="1" x14ac:dyDescent="0.4">
      <c r="A38" s="5">
        <f t="shared" si="2"/>
        <v>36</v>
      </c>
      <c r="B38" s="5" t="s">
        <v>9</v>
      </c>
      <c r="C38" s="5" t="s">
        <v>19</v>
      </c>
      <c r="D38" s="5" t="s">
        <v>11</v>
      </c>
      <c r="E38" s="11">
        <f t="shared" ca="1" si="3"/>
        <v>0</v>
      </c>
      <c r="F38" s="12">
        <v>46054</v>
      </c>
      <c r="G38" s="12">
        <v>46063</v>
      </c>
      <c r="H38" s="13">
        <f t="shared" si="8"/>
        <v>8</v>
      </c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</row>
    <row r="39" spans="1:47" hidden="1" outlineLevel="1" x14ac:dyDescent="0.4">
      <c r="A39" s="5">
        <f t="shared" si="2"/>
        <v>37</v>
      </c>
      <c r="B39" s="5" t="s">
        <v>9</v>
      </c>
      <c r="C39" s="5" t="s">
        <v>19</v>
      </c>
      <c r="D39" s="5" t="s">
        <v>12</v>
      </c>
      <c r="E39" s="11">
        <f t="shared" ca="1" si="3"/>
        <v>0</v>
      </c>
      <c r="F39" s="12">
        <v>46054</v>
      </c>
      <c r="G39" s="12">
        <v>46063</v>
      </c>
      <c r="H39" s="13">
        <f t="shared" si="8"/>
        <v>8</v>
      </c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</row>
    <row r="40" spans="1:47" hidden="1" outlineLevel="1" x14ac:dyDescent="0.4">
      <c r="A40" s="5">
        <f t="shared" si="2"/>
        <v>38</v>
      </c>
      <c r="B40" s="5" t="s">
        <v>9</v>
      </c>
      <c r="C40" s="5" t="s">
        <v>19</v>
      </c>
      <c r="D40" s="5" t="s">
        <v>13</v>
      </c>
      <c r="E40" s="11">
        <f t="shared" ca="1" si="3"/>
        <v>0</v>
      </c>
      <c r="F40" s="12">
        <v>46054</v>
      </c>
      <c r="G40" s="12">
        <v>46063</v>
      </c>
      <c r="H40" s="13">
        <f t="shared" si="8"/>
        <v>8</v>
      </c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</row>
    <row r="41" spans="1:47" collapsed="1" x14ac:dyDescent="0.4">
      <c r="A41" s="7">
        <v>9</v>
      </c>
      <c r="B41" s="7" t="s">
        <v>35</v>
      </c>
      <c r="C41" s="7" t="s">
        <v>35</v>
      </c>
      <c r="D41" s="7" t="str" cm="1">
        <f t="array" aca="1" ref="D41" ca="1">_xlfn.IFS(E42&lt;1,D42&amp; "中",E43&lt;1,D43&amp; "中",E44&lt;1,D44&amp; "中",TRUE,"完了")</f>
        <v>準備中</v>
      </c>
      <c r="E41" s="8">
        <f ca="1">AVERAGE(E42:E45)</f>
        <v>0</v>
      </c>
      <c r="F41" s="9">
        <f>MIN(F42:F45)</f>
        <v>46064</v>
      </c>
      <c r="G41" s="9">
        <f>MAX(G42:G45)</f>
        <v>46073</v>
      </c>
      <c r="H41" s="10">
        <f>SUM(H42:H45)</f>
        <v>36</v>
      </c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</row>
    <row r="42" spans="1:47" hidden="1" outlineLevel="1" x14ac:dyDescent="0.4">
      <c r="A42" s="5">
        <f t="shared" si="2"/>
        <v>40</v>
      </c>
      <c r="B42" s="5" t="s">
        <v>9</v>
      </c>
      <c r="C42" s="5" t="s">
        <v>20</v>
      </c>
      <c r="D42" s="5" t="s">
        <v>44</v>
      </c>
      <c r="E42" s="11">
        <f t="shared" ca="1" si="3"/>
        <v>0</v>
      </c>
      <c r="F42" s="12">
        <v>46064</v>
      </c>
      <c r="G42" s="12">
        <v>46073</v>
      </c>
      <c r="H42" s="13">
        <f t="shared" ref="H42:H45" si="9">NETWORKDAYS(F42,G42)+1</f>
        <v>9</v>
      </c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</row>
    <row r="43" spans="1:47" hidden="1" outlineLevel="1" x14ac:dyDescent="0.4">
      <c r="A43" s="5">
        <f t="shared" si="2"/>
        <v>41</v>
      </c>
      <c r="B43" s="5" t="s">
        <v>9</v>
      </c>
      <c r="C43" s="5" t="s">
        <v>20</v>
      </c>
      <c r="D43" s="5" t="s">
        <v>11</v>
      </c>
      <c r="E43" s="11">
        <f t="shared" ca="1" si="3"/>
        <v>0</v>
      </c>
      <c r="F43" s="12">
        <v>46064</v>
      </c>
      <c r="G43" s="12">
        <v>46073</v>
      </c>
      <c r="H43" s="13">
        <f t="shared" si="9"/>
        <v>9</v>
      </c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</row>
    <row r="44" spans="1:47" hidden="1" outlineLevel="1" x14ac:dyDescent="0.4">
      <c r="A44" s="5">
        <f t="shared" si="2"/>
        <v>42</v>
      </c>
      <c r="B44" s="5" t="s">
        <v>9</v>
      </c>
      <c r="C44" s="5" t="s">
        <v>20</v>
      </c>
      <c r="D44" s="5" t="s">
        <v>12</v>
      </c>
      <c r="E44" s="11">
        <f t="shared" ca="1" si="3"/>
        <v>0</v>
      </c>
      <c r="F44" s="12">
        <v>46064</v>
      </c>
      <c r="G44" s="12">
        <v>46073</v>
      </c>
      <c r="H44" s="13">
        <f t="shared" si="9"/>
        <v>9</v>
      </c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</row>
    <row r="45" spans="1:47" hidden="1" outlineLevel="1" x14ac:dyDescent="0.4">
      <c r="A45" s="5">
        <f t="shared" si="2"/>
        <v>43</v>
      </c>
      <c r="B45" s="5" t="s">
        <v>9</v>
      </c>
      <c r="C45" s="5" t="s">
        <v>20</v>
      </c>
      <c r="D45" s="5" t="s">
        <v>13</v>
      </c>
      <c r="E45" s="11">
        <f t="shared" ca="1" si="3"/>
        <v>0</v>
      </c>
      <c r="F45" s="12">
        <v>46064</v>
      </c>
      <c r="G45" s="12">
        <v>46073</v>
      </c>
      <c r="H45" s="13">
        <f t="shared" si="9"/>
        <v>9</v>
      </c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</row>
    <row r="46" spans="1:47" collapsed="1" x14ac:dyDescent="0.4">
      <c r="A46" s="7">
        <v>10</v>
      </c>
      <c r="B46" s="7" t="s">
        <v>36</v>
      </c>
      <c r="C46" s="7" t="s">
        <v>36</v>
      </c>
      <c r="D46" s="7" t="str" cm="1">
        <f t="array" aca="1" ref="D46" ca="1">_xlfn.IFS(E47&lt;1,D47&amp; "中",E48&lt;1,D48&amp; "中",E49&lt;1,D49&amp; "中",TRUE,"完了")</f>
        <v>準備中</v>
      </c>
      <c r="E46" s="8">
        <f ca="1">AVERAGE(E47:E50)</f>
        <v>0</v>
      </c>
      <c r="F46" s="9">
        <f>MIN(F47:F50)</f>
        <v>46074</v>
      </c>
      <c r="G46" s="9">
        <f>MAX(G47:G50)</f>
        <v>46081</v>
      </c>
      <c r="H46" s="10">
        <f>SUM(H47:H50)</f>
        <v>24</v>
      </c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</row>
    <row r="47" spans="1:47" hidden="1" outlineLevel="1" x14ac:dyDescent="0.4">
      <c r="A47" s="5">
        <f t="shared" si="2"/>
        <v>45</v>
      </c>
      <c r="B47" s="5" t="s">
        <v>9</v>
      </c>
      <c r="C47" s="5" t="s">
        <v>21</v>
      </c>
      <c r="D47" s="5" t="s">
        <v>44</v>
      </c>
      <c r="E47" s="11">
        <f t="shared" ca="1" si="3"/>
        <v>0</v>
      </c>
      <c r="F47" s="12">
        <v>46074</v>
      </c>
      <c r="G47" s="12">
        <v>46081</v>
      </c>
      <c r="H47" s="13">
        <f t="shared" ref="H47:H50" si="10">NETWORKDAYS(F47,G47)+1</f>
        <v>6</v>
      </c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</row>
    <row r="48" spans="1:47" hidden="1" outlineLevel="1" x14ac:dyDescent="0.4">
      <c r="A48" s="5">
        <f t="shared" si="2"/>
        <v>46</v>
      </c>
      <c r="B48" s="5" t="s">
        <v>9</v>
      </c>
      <c r="C48" s="5" t="s">
        <v>21</v>
      </c>
      <c r="D48" s="5" t="s">
        <v>11</v>
      </c>
      <c r="E48" s="11">
        <f t="shared" ca="1" si="3"/>
        <v>0</v>
      </c>
      <c r="F48" s="12">
        <v>46074</v>
      </c>
      <c r="G48" s="12">
        <v>46081</v>
      </c>
      <c r="H48" s="13">
        <f t="shared" si="10"/>
        <v>6</v>
      </c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</row>
    <row r="49" spans="1:47" hidden="1" outlineLevel="1" x14ac:dyDescent="0.4">
      <c r="A49" s="5">
        <f t="shared" si="2"/>
        <v>47</v>
      </c>
      <c r="B49" s="5" t="s">
        <v>9</v>
      </c>
      <c r="C49" s="5" t="s">
        <v>21</v>
      </c>
      <c r="D49" s="5" t="s">
        <v>12</v>
      </c>
      <c r="E49" s="11">
        <f t="shared" ca="1" si="3"/>
        <v>0</v>
      </c>
      <c r="F49" s="12">
        <v>46074</v>
      </c>
      <c r="G49" s="12">
        <v>46081</v>
      </c>
      <c r="H49" s="13">
        <f t="shared" si="10"/>
        <v>6</v>
      </c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</row>
    <row r="50" spans="1:47" hidden="1" outlineLevel="1" x14ac:dyDescent="0.4">
      <c r="A50" s="5">
        <f t="shared" si="2"/>
        <v>48</v>
      </c>
      <c r="B50" s="5" t="s">
        <v>9</v>
      </c>
      <c r="C50" s="5" t="s">
        <v>21</v>
      </c>
      <c r="D50" s="5" t="s">
        <v>13</v>
      </c>
      <c r="E50" s="11">
        <f t="shared" ca="1" si="3"/>
        <v>0</v>
      </c>
      <c r="F50" s="12">
        <v>46074</v>
      </c>
      <c r="G50" s="12">
        <v>46081</v>
      </c>
      <c r="H50" s="13">
        <f t="shared" si="10"/>
        <v>6</v>
      </c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</row>
    <row r="51" spans="1:47" collapsed="1" x14ac:dyDescent="0.4">
      <c r="A51" s="7">
        <v>11</v>
      </c>
      <c r="B51" s="7" t="s">
        <v>46</v>
      </c>
      <c r="C51" s="7" t="s">
        <v>46</v>
      </c>
      <c r="D51" s="7" t="str" cm="1">
        <f t="array" aca="1" ref="D51" ca="1">_xlfn.IFS(E52&lt;1,D52&amp; "中",E53&lt;1,D53&amp; "中",E54&lt;1,D54&amp; "中",TRUE,"完了")</f>
        <v>準備中</v>
      </c>
      <c r="E51" s="8">
        <f ca="1">AVERAGE(E52:E55)</f>
        <v>0</v>
      </c>
      <c r="F51" s="9">
        <f>MIN(F52:F55)</f>
        <v>46082</v>
      </c>
      <c r="G51" s="9">
        <f>MAX(G52:G55)</f>
        <v>46091</v>
      </c>
      <c r="H51" s="10">
        <f>SUM(H52:H55)</f>
        <v>32</v>
      </c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</row>
    <row r="52" spans="1:47" hidden="1" outlineLevel="1" x14ac:dyDescent="0.4">
      <c r="A52" s="5">
        <f t="shared" si="2"/>
        <v>50</v>
      </c>
      <c r="B52" s="5" t="s">
        <v>9</v>
      </c>
      <c r="C52" s="5" t="s">
        <v>21</v>
      </c>
      <c r="D52" s="5" t="s">
        <v>44</v>
      </c>
      <c r="E52" s="11">
        <f t="shared" ref="E52:E55" ca="1" si="11">IF((NOW()-F52)/(G52-F52)&gt;1,1,IF((NOW()-F52)/(G52-F52)&lt;0,0,(NOW()-F52)/(G52-F52)))</f>
        <v>0</v>
      </c>
      <c r="F52" s="12">
        <v>46082</v>
      </c>
      <c r="G52" s="12">
        <v>46091</v>
      </c>
      <c r="H52" s="13">
        <f t="shared" ref="H52:H55" si="12">NETWORKDAYS(F52,G52)+1</f>
        <v>8</v>
      </c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</row>
    <row r="53" spans="1:47" hidden="1" outlineLevel="1" x14ac:dyDescent="0.4">
      <c r="A53" s="5">
        <f t="shared" si="2"/>
        <v>51</v>
      </c>
      <c r="B53" s="5" t="s">
        <v>9</v>
      </c>
      <c r="C53" s="5" t="s">
        <v>21</v>
      </c>
      <c r="D53" s="5" t="s">
        <v>11</v>
      </c>
      <c r="E53" s="11">
        <f t="shared" ca="1" si="11"/>
        <v>0</v>
      </c>
      <c r="F53" s="12">
        <v>46082</v>
      </c>
      <c r="G53" s="12">
        <v>46091</v>
      </c>
      <c r="H53" s="13">
        <f t="shared" si="12"/>
        <v>8</v>
      </c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</row>
    <row r="54" spans="1:47" hidden="1" outlineLevel="1" x14ac:dyDescent="0.4">
      <c r="A54" s="5">
        <f t="shared" si="2"/>
        <v>52</v>
      </c>
      <c r="B54" s="5" t="s">
        <v>9</v>
      </c>
      <c r="C54" s="5" t="s">
        <v>21</v>
      </c>
      <c r="D54" s="5" t="s">
        <v>12</v>
      </c>
      <c r="E54" s="11">
        <f t="shared" ca="1" si="11"/>
        <v>0</v>
      </c>
      <c r="F54" s="12">
        <v>46082</v>
      </c>
      <c r="G54" s="12">
        <v>46091</v>
      </c>
      <c r="H54" s="13">
        <f t="shared" si="12"/>
        <v>8</v>
      </c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</row>
    <row r="55" spans="1:47" hidden="1" outlineLevel="1" x14ac:dyDescent="0.4">
      <c r="A55" s="5">
        <f t="shared" si="2"/>
        <v>53</v>
      </c>
      <c r="B55" s="5" t="s">
        <v>9</v>
      </c>
      <c r="C55" s="5" t="s">
        <v>21</v>
      </c>
      <c r="D55" s="5" t="s">
        <v>13</v>
      </c>
      <c r="E55" s="11">
        <f t="shared" ca="1" si="11"/>
        <v>0</v>
      </c>
      <c r="F55" s="12">
        <v>46082</v>
      </c>
      <c r="G55" s="12">
        <v>46091</v>
      </c>
      <c r="H55" s="13">
        <f t="shared" si="12"/>
        <v>8</v>
      </c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</row>
    <row r="56" spans="1:47" collapsed="1" x14ac:dyDescent="0.4">
      <c r="A56" s="7">
        <v>12</v>
      </c>
      <c r="B56" s="7" t="s">
        <v>41</v>
      </c>
      <c r="C56" s="7" t="s">
        <v>26</v>
      </c>
      <c r="D56" s="7" t="str" cm="1">
        <f t="array" aca="1" ref="D56" ca="1">_xlfn.IFS(E57&lt;1,D57&amp; "中",E58&lt;1,D58&amp; "中",E59&lt;1,D59&amp; "中",TRUE,"完了")</f>
        <v>準備中</v>
      </c>
      <c r="E56" s="8">
        <f ca="1">AVERAGE(E57:E60)</f>
        <v>0</v>
      </c>
      <c r="F56" s="9">
        <f>MIN(F57:F60)</f>
        <v>46092</v>
      </c>
      <c r="G56" s="9">
        <f>MAX(G57:G60)</f>
        <v>46101</v>
      </c>
      <c r="H56" s="10">
        <f>SUM(H57:H60)</f>
        <v>36</v>
      </c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</row>
    <row r="57" spans="1:47" hidden="1" outlineLevel="1" x14ac:dyDescent="0.4">
      <c r="A57" s="5">
        <f t="shared" si="2"/>
        <v>55</v>
      </c>
      <c r="B57" s="5" t="s">
        <v>9</v>
      </c>
      <c r="C57" s="5" t="s">
        <v>22</v>
      </c>
      <c r="D57" s="5" t="s">
        <v>44</v>
      </c>
      <c r="E57" s="11">
        <f t="shared" ca="1" si="3"/>
        <v>0</v>
      </c>
      <c r="F57" s="12">
        <v>46092</v>
      </c>
      <c r="G57" s="12">
        <v>46101</v>
      </c>
      <c r="H57" s="13">
        <f t="shared" ref="H57:H60" si="13">NETWORKDAYS(F57,G57)+1</f>
        <v>9</v>
      </c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</row>
    <row r="58" spans="1:47" hidden="1" outlineLevel="1" x14ac:dyDescent="0.4">
      <c r="A58" s="5">
        <f t="shared" si="2"/>
        <v>56</v>
      </c>
      <c r="B58" s="5" t="s">
        <v>9</v>
      </c>
      <c r="C58" s="5" t="s">
        <v>22</v>
      </c>
      <c r="D58" s="5" t="s">
        <v>11</v>
      </c>
      <c r="E58" s="11">
        <f t="shared" ca="1" si="3"/>
        <v>0</v>
      </c>
      <c r="F58" s="12">
        <v>46092</v>
      </c>
      <c r="G58" s="12">
        <v>46101</v>
      </c>
      <c r="H58" s="13">
        <f t="shared" si="13"/>
        <v>9</v>
      </c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</row>
    <row r="59" spans="1:47" hidden="1" outlineLevel="1" x14ac:dyDescent="0.4">
      <c r="A59" s="5">
        <f t="shared" si="2"/>
        <v>57</v>
      </c>
      <c r="B59" s="5" t="s">
        <v>9</v>
      </c>
      <c r="C59" s="5" t="s">
        <v>22</v>
      </c>
      <c r="D59" s="5" t="s">
        <v>12</v>
      </c>
      <c r="E59" s="11">
        <f t="shared" ca="1" si="3"/>
        <v>0</v>
      </c>
      <c r="F59" s="12">
        <v>46092</v>
      </c>
      <c r="G59" s="12">
        <v>46101</v>
      </c>
      <c r="H59" s="13">
        <f t="shared" si="13"/>
        <v>9</v>
      </c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</row>
    <row r="60" spans="1:47" hidden="1" outlineLevel="1" x14ac:dyDescent="0.4">
      <c r="A60" s="5">
        <f t="shared" si="2"/>
        <v>58</v>
      </c>
      <c r="B60" s="5" t="s">
        <v>9</v>
      </c>
      <c r="C60" s="5" t="s">
        <v>22</v>
      </c>
      <c r="D60" s="5" t="s">
        <v>13</v>
      </c>
      <c r="E60" s="11">
        <f t="shared" ca="1" si="3"/>
        <v>0</v>
      </c>
      <c r="F60" s="12">
        <v>46092</v>
      </c>
      <c r="G60" s="12">
        <v>46101</v>
      </c>
      <c r="H60" s="13">
        <f t="shared" si="13"/>
        <v>9</v>
      </c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</row>
    <row r="61" spans="1:47" collapsed="1" x14ac:dyDescent="0.4">
      <c r="A61" s="7">
        <v>13</v>
      </c>
      <c r="B61" s="7" t="s">
        <v>37</v>
      </c>
      <c r="C61" s="7" t="s">
        <v>45</v>
      </c>
      <c r="D61" s="7" t="str" cm="1">
        <f t="array" aca="1" ref="D61" ca="1">_xlfn.IFS(E62&lt;1,D62&amp; "中",E63&lt;1,D63&amp; "中",E64&lt;1,D64&amp; "中",TRUE,"完了")</f>
        <v>準備中</v>
      </c>
      <c r="E61" s="8">
        <f ca="1">AVERAGE(E62:E65)</f>
        <v>0</v>
      </c>
      <c r="F61" s="9">
        <f>MIN(F62:F65)</f>
        <v>46102</v>
      </c>
      <c r="G61" s="9">
        <f>MAX(G62:G65)</f>
        <v>46111</v>
      </c>
      <c r="H61" s="10">
        <f>SUM(H62:H65)</f>
        <v>28</v>
      </c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</row>
    <row r="62" spans="1:47" hidden="1" outlineLevel="1" x14ac:dyDescent="0.4">
      <c r="A62" s="5">
        <f t="shared" si="2"/>
        <v>60</v>
      </c>
      <c r="B62" s="5" t="s">
        <v>9</v>
      </c>
      <c r="C62" s="5" t="s">
        <v>23</v>
      </c>
      <c r="D62" s="5" t="s">
        <v>44</v>
      </c>
      <c r="E62" s="11">
        <f t="shared" ca="1" si="3"/>
        <v>0</v>
      </c>
      <c r="F62" s="12">
        <v>46102</v>
      </c>
      <c r="G62" s="12">
        <v>46111</v>
      </c>
      <c r="H62" s="13">
        <f t="shared" ref="H62:H65" si="14">NETWORKDAYS(F62,G62)+1</f>
        <v>7</v>
      </c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</row>
    <row r="63" spans="1:47" hidden="1" outlineLevel="1" x14ac:dyDescent="0.4">
      <c r="A63" s="5">
        <f t="shared" si="2"/>
        <v>61</v>
      </c>
      <c r="B63" s="5" t="s">
        <v>9</v>
      </c>
      <c r="C63" s="5" t="s">
        <v>23</v>
      </c>
      <c r="D63" s="5" t="s">
        <v>11</v>
      </c>
      <c r="E63" s="11">
        <f t="shared" ca="1" si="3"/>
        <v>0</v>
      </c>
      <c r="F63" s="12">
        <v>46102</v>
      </c>
      <c r="G63" s="12">
        <v>46111</v>
      </c>
      <c r="H63" s="13">
        <f t="shared" si="14"/>
        <v>7</v>
      </c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</row>
    <row r="64" spans="1:47" hidden="1" outlineLevel="1" x14ac:dyDescent="0.4">
      <c r="A64" s="5">
        <f t="shared" si="2"/>
        <v>62</v>
      </c>
      <c r="B64" s="5" t="s">
        <v>9</v>
      </c>
      <c r="C64" s="5" t="s">
        <v>23</v>
      </c>
      <c r="D64" s="5" t="s">
        <v>12</v>
      </c>
      <c r="E64" s="11">
        <f t="shared" ca="1" si="3"/>
        <v>0</v>
      </c>
      <c r="F64" s="12">
        <v>46102</v>
      </c>
      <c r="G64" s="12">
        <v>46111</v>
      </c>
      <c r="H64" s="13">
        <f t="shared" si="14"/>
        <v>7</v>
      </c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</row>
    <row r="65" spans="1:47" hidden="1" outlineLevel="1" x14ac:dyDescent="0.4">
      <c r="A65" s="5">
        <f t="shared" si="2"/>
        <v>63</v>
      </c>
      <c r="B65" s="5" t="s">
        <v>9</v>
      </c>
      <c r="C65" s="5" t="s">
        <v>23</v>
      </c>
      <c r="D65" s="5" t="s">
        <v>13</v>
      </c>
      <c r="E65" s="11">
        <f t="shared" ca="1" si="3"/>
        <v>0</v>
      </c>
      <c r="F65" s="12">
        <v>46102</v>
      </c>
      <c r="G65" s="12">
        <v>46111</v>
      </c>
      <c r="H65" s="13">
        <f t="shared" si="14"/>
        <v>7</v>
      </c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</row>
    <row r="66" spans="1:47" collapsed="1" x14ac:dyDescent="0.4">
      <c r="A66" s="7">
        <v>14</v>
      </c>
      <c r="B66" s="7" t="s">
        <v>39</v>
      </c>
      <c r="C66" s="7" t="s">
        <v>42</v>
      </c>
      <c r="D66" s="7" t="str" cm="1">
        <f t="array" aca="1" ref="D66" ca="1">_xlfn.IFS(E67&lt;1,D67&amp; "中",E68&lt;1,D68&amp; "中",E69&lt;1,D69&amp; "中",TRUE,"完了")</f>
        <v>準備中</v>
      </c>
      <c r="E66" s="8">
        <f ca="1">AVERAGE(E67:E70)</f>
        <v>0</v>
      </c>
      <c r="F66" s="9">
        <f>MIN(F67:F70)</f>
        <v>46113</v>
      </c>
      <c r="G66" s="9">
        <f>MAX(G67:G70)</f>
        <v>46122</v>
      </c>
      <c r="H66" s="10">
        <f>SUM(H67:H70)</f>
        <v>36</v>
      </c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</row>
    <row r="67" spans="1:47" hidden="1" outlineLevel="1" x14ac:dyDescent="0.4">
      <c r="A67" s="5">
        <f t="shared" si="2"/>
        <v>65</v>
      </c>
      <c r="B67" s="5" t="s">
        <v>38</v>
      </c>
      <c r="C67" s="5" t="s">
        <v>43</v>
      </c>
      <c r="D67" s="5" t="s">
        <v>44</v>
      </c>
      <c r="E67" s="11">
        <f t="shared" ca="1" si="3"/>
        <v>0</v>
      </c>
      <c r="F67" s="12">
        <v>46113</v>
      </c>
      <c r="G67" s="12">
        <v>46122</v>
      </c>
      <c r="H67" s="13">
        <f>NETWORKDAYS(F67,G67)+1</f>
        <v>9</v>
      </c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</row>
    <row r="68" spans="1:47" hidden="1" outlineLevel="1" x14ac:dyDescent="0.4">
      <c r="A68" s="5">
        <f t="shared" si="2"/>
        <v>66</v>
      </c>
      <c r="B68" s="5" t="s">
        <v>38</v>
      </c>
      <c r="C68" s="5" t="s">
        <v>14</v>
      </c>
      <c r="D68" s="5" t="s">
        <v>11</v>
      </c>
      <c r="E68" s="11">
        <f t="shared" ca="1" si="3"/>
        <v>0</v>
      </c>
      <c r="F68" s="12">
        <v>46113</v>
      </c>
      <c r="G68" s="12">
        <v>46122</v>
      </c>
      <c r="H68" s="13">
        <f>NETWORKDAYS(F68,G68)+1</f>
        <v>9</v>
      </c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</row>
    <row r="69" spans="1:47" hidden="1" outlineLevel="1" x14ac:dyDescent="0.4">
      <c r="A69" s="5">
        <f t="shared" si="2"/>
        <v>67</v>
      </c>
      <c r="B69" s="5" t="s">
        <v>38</v>
      </c>
      <c r="C69" s="5" t="s">
        <v>14</v>
      </c>
      <c r="D69" s="5" t="s">
        <v>12</v>
      </c>
      <c r="E69" s="11">
        <f t="shared" ca="1" si="3"/>
        <v>0</v>
      </c>
      <c r="F69" s="12">
        <v>46113</v>
      </c>
      <c r="G69" s="12">
        <v>46122</v>
      </c>
      <c r="H69" s="13">
        <f>NETWORKDAYS(F69,G69)+1</f>
        <v>9</v>
      </c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</row>
    <row r="70" spans="1:47" hidden="1" outlineLevel="1" x14ac:dyDescent="0.4">
      <c r="A70" s="5">
        <f t="shared" si="2"/>
        <v>68</v>
      </c>
      <c r="B70" s="5" t="s">
        <v>38</v>
      </c>
      <c r="C70" s="5" t="s">
        <v>14</v>
      </c>
      <c r="D70" s="5" t="s">
        <v>13</v>
      </c>
      <c r="E70" s="11">
        <f t="shared" ca="1" si="3"/>
        <v>0</v>
      </c>
      <c r="F70" s="12">
        <v>46113</v>
      </c>
      <c r="G70" s="12">
        <v>46122</v>
      </c>
      <c r="H70" s="13">
        <f>NETWORKDAYS(F70,G70)+1</f>
        <v>9</v>
      </c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</row>
    <row r="71" spans="1:47" collapsed="1" x14ac:dyDescent="0.4"/>
  </sheetData>
  <phoneticPr fontId="1"/>
  <conditionalFormatting sqref="E3:E70">
    <cfRule type="dataBar" priority="119">
      <dataBar>
        <cfvo type="num" val="0"/>
        <cfvo type="num" val="1"/>
        <color rgb="FF008AEF"/>
      </dataBar>
      <extLst>
        <ext xmlns:x14="http://schemas.microsoft.com/office/spreadsheetml/2009/9/main" uri="{B025F937-C7B1-47D3-B67F-A62EFF666E3E}">
          <x14:id>{45CD1F67-E06F-4999-95E2-7900582BB5D2}</x14:id>
        </ext>
      </extLst>
    </cfRule>
  </conditionalFormatting>
  <conditionalFormatting sqref="I3:AU70">
    <cfRule type="expression" dxfId="0" priority="1">
      <formula>AND(OR($F3&lt;=I$2,$F3&lt;=I$2+($E$1-1)),OR($G3&gt;=I$2,$G3&gt;=I$2+($E$1-1)))</formula>
    </cfRule>
  </conditionalFormatting>
  <pageMargins left="0.39370078740157483" right="0.19685039370078741" top="0.59055118110236227" bottom="0.39370078740157483" header="0.19685039370078741" footer="0.19685039370078741"/>
  <pageSetup paperSize="9" scale="88" fitToHeight="0" orientation="landscape" r:id="rId1"/>
  <headerFooter>
    <oddHeader>&amp;C&amp;16HPL向けサイト構築スケジュール</oddHeader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5CD1F67-E06F-4999-95E2-7900582BB5D2}">
            <x14:dataBar minLength="0" maxLength="100" gradient="0" direction="leftToRight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E3:E70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E5434D9EA21D7949923CC4A633E12A77" ma:contentTypeVersion="4" ma:contentTypeDescription="新しいドキュメントを作成します。" ma:contentTypeScope="" ma:versionID="d453e39921262c6a79d0733e1df2b486">
  <xsd:schema xmlns:xsd="http://www.w3.org/2001/XMLSchema" xmlns:xs="http://www.w3.org/2001/XMLSchema" xmlns:p="http://schemas.microsoft.com/office/2006/metadata/properties" xmlns:ns2="3ed1de38-dd82-4e7e-afee-a14a0fe6e191" targetNamespace="http://schemas.microsoft.com/office/2006/metadata/properties" ma:root="true" ma:fieldsID="156b720865c3acf3277ccfa44608126a" ns2:_="">
    <xsd:import namespace="3ed1de38-dd82-4e7e-afee-a14a0fe6e19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d1de38-dd82-4e7e-afee-a14a0fe6e19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D59214E-BF3E-4666-BE82-75129AD3B77D}">
  <ds:schemaRefs>
    <ds:schemaRef ds:uri="http://purl.org/dc/dcmitype/"/>
    <ds:schemaRef ds:uri="http://schemas.openxmlformats.org/package/2006/metadata/core-properties"/>
    <ds:schemaRef ds:uri="http://purl.org/dc/elements/1.1/"/>
    <ds:schemaRef ds:uri="http://purl.org/dc/terms/"/>
    <ds:schemaRef ds:uri="http://www.w3.org/XML/1998/namespace"/>
    <ds:schemaRef ds:uri="http://schemas.microsoft.com/office/2006/documentManagement/types"/>
    <ds:schemaRef ds:uri="http://schemas.microsoft.com/office/2006/metadata/properties"/>
    <ds:schemaRef ds:uri="http://schemas.microsoft.com/office/infopath/2007/PartnerControls"/>
    <ds:schemaRef ds:uri="3ed1de38-dd82-4e7e-afee-a14a0fe6e191"/>
  </ds:schemaRefs>
</ds:datastoreItem>
</file>

<file path=customXml/itemProps2.xml><?xml version="1.0" encoding="utf-8"?>
<ds:datastoreItem xmlns:ds="http://schemas.openxmlformats.org/officeDocument/2006/customXml" ds:itemID="{F0D78C85-36DC-48D5-BBA5-30E171A629A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ed1de38-dd82-4e7e-afee-a14a0fe6e19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3C6AD0F-DC69-44D1-9AFF-DB5223F68D9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>SGホールディングスグループ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SGHグローバル・ジャパン株式会社</dc:creator>
  <cp:lastModifiedBy>Akinobu Sekiya</cp:lastModifiedBy>
  <cp:lastPrinted>2025-12-28T10:44:14Z</cp:lastPrinted>
  <dcterms:created xsi:type="dcterms:W3CDTF">2024-07-01T05:45:19Z</dcterms:created>
  <dcterms:modified xsi:type="dcterms:W3CDTF">2025-12-28T10:44:31Z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0x010100E5434D9EA21D7949923CC4A633E12A77</vt:lpwstr>
  </property>
</Properties>
</file>