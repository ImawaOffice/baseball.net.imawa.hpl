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34f495e25f62110/Documents/SideBusiness/SoundLine/HPL/野球大会管理/"/>
    </mc:Choice>
  </mc:AlternateContent>
  <xr:revisionPtr revIDLastSave="408" documentId="11_AD4D066CA252ABDACC1048F5C115FE7073EEDF50" xr6:coauthVersionLast="47" xr6:coauthVersionMax="47" xr10:uidLastSave="{D577B9CD-429D-47BC-90B5-DDAD98A3A854}"/>
  <bookViews>
    <workbookView xWindow="-120" yWindow="-120" windowWidth="29040" windowHeight="15720" activeTab="1" xr2:uid="{00000000-000D-0000-FFFF-FFFF00000000}"/>
  </bookViews>
  <sheets>
    <sheet name="工数試算" sheetId="1" r:id="rId1"/>
    <sheet name="見積概算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 s="1"/>
  <c r="G9" i="2" s="1"/>
  <c r="H9" i="2" s="1"/>
  <c r="J9" i="2" s="1"/>
  <c r="D4" i="1"/>
  <c r="D8" i="2"/>
  <c r="E8" i="2"/>
  <c r="G8" i="2" s="1"/>
  <c r="H8" i="2" s="1"/>
  <c r="J8" i="2" s="1"/>
  <c r="E7" i="2"/>
  <c r="G7" i="2" s="1"/>
  <c r="H7" i="2" s="1"/>
  <c r="J7" i="2" s="1"/>
  <c r="E5" i="2"/>
  <c r="G5" i="2" s="1"/>
  <c r="H5" i="2" s="1"/>
  <c r="J5" i="2" s="1"/>
  <c r="E6" i="2"/>
  <c r="G6" i="2" s="1"/>
  <c r="H6" i="2" s="1"/>
  <c r="J6" i="2" s="1"/>
  <c r="D7" i="1"/>
  <c r="D6" i="1"/>
  <c r="D8" i="1"/>
  <c r="I8" i="1"/>
  <c r="H8" i="1"/>
  <c r="G8" i="1"/>
  <c r="F8" i="1"/>
  <c r="E8" i="1"/>
  <c r="I7" i="1"/>
  <c r="H7" i="1"/>
  <c r="G7" i="1"/>
  <c r="F7" i="1"/>
  <c r="E7" i="1"/>
  <c r="I6" i="1"/>
  <c r="H6" i="1"/>
  <c r="G6" i="1"/>
  <c r="F6" i="1"/>
  <c r="E6" i="1"/>
  <c r="Y4" i="1"/>
  <c r="X4" i="1"/>
  <c r="W4" i="1"/>
  <c r="V4" i="1"/>
  <c r="AF9" i="1"/>
  <c r="AD9" i="1"/>
  <c r="AB9" i="1"/>
  <c r="D10" i="2" l="1"/>
  <c r="E10" i="2" s="1"/>
  <c r="G10" i="2" s="1"/>
  <c r="H10" i="2" s="1"/>
  <c r="J10" i="2" s="1"/>
  <c r="M4" i="1"/>
  <c r="J4" i="1" s="1"/>
  <c r="L4" i="1" l="1"/>
  <c r="K4" i="1"/>
  <c r="G4" i="1" l="1"/>
  <c r="E4" i="1" s="1"/>
  <c r="F4" i="1" l="1"/>
  <c r="I4" i="1"/>
  <c r="H4" i="1"/>
  <c r="B1" i="1" l="1"/>
</calcChain>
</file>

<file path=xl/sharedStrings.xml><?xml version="1.0" encoding="utf-8"?>
<sst xmlns="http://schemas.openxmlformats.org/spreadsheetml/2006/main" count="71" uniqueCount="53">
  <si>
    <t>機能名</t>
    <rPh sb="0" eb="3">
      <t>キノウメイ</t>
    </rPh>
    <phoneticPr fontId="1"/>
  </si>
  <si>
    <t>要件定義</t>
    <rPh sb="0" eb="4">
      <t>ヨウケンテイギ</t>
    </rPh>
    <phoneticPr fontId="1"/>
  </si>
  <si>
    <t>開発</t>
    <rPh sb="0" eb="2">
      <t>カイハツ</t>
    </rPh>
    <phoneticPr fontId="1"/>
  </si>
  <si>
    <t>テスト</t>
    <phoneticPr fontId="1"/>
  </si>
  <si>
    <t>HTML</t>
    <phoneticPr fontId="1"/>
  </si>
  <si>
    <t>CSS</t>
    <phoneticPr fontId="1"/>
  </si>
  <si>
    <t>JavaScript</t>
    <phoneticPr fontId="1"/>
  </si>
  <si>
    <t>PHP</t>
    <phoneticPr fontId="1"/>
  </si>
  <si>
    <t>項目数</t>
    <rPh sb="0" eb="3">
      <t>コウモクスウ</t>
    </rPh>
    <phoneticPr fontId="1"/>
  </si>
  <si>
    <t>合計</t>
    <rPh sb="0" eb="2">
      <t>ゴウケイ</t>
    </rPh>
    <phoneticPr fontId="1"/>
  </si>
  <si>
    <t>Read</t>
    <phoneticPr fontId="1"/>
  </si>
  <si>
    <t>Update</t>
    <phoneticPr fontId="1"/>
  </si>
  <si>
    <t>Delete</t>
    <phoneticPr fontId="1"/>
  </si>
  <si>
    <t>Cread</t>
    <phoneticPr fontId="1"/>
  </si>
  <si>
    <t>Creat</t>
    <phoneticPr fontId="1"/>
  </si>
  <si>
    <t>リリース</t>
    <phoneticPr fontId="1"/>
  </si>
  <si>
    <t>複雑度計数</t>
    <rPh sb="0" eb="2">
      <t>フクザツ</t>
    </rPh>
    <rPh sb="2" eb="3">
      <t>ド</t>
    </rPh>
    <rPh sb="3" eb="5">
      <t>ケイスウ</t>
    </rPh>
    <phoneticPr fontId="1"/>
  </si>
  <si>
    <t>CRUD×２</t>
    <phoneticPr fontId="1"/>
  </si>
  <si>
    <t>標準工数</t>
    <rPh sb="0" eb="4">
      <t>ヒョウジュンコウスウ</t>
    </rPh>
    <phoneticPr fontId="1"/>
  </si>
  <si>
    <t>1項目1時間</t>
    <rPh sb="1" eb="3">
      <t>コウモク</t>
    </rPh>
    <rPh sb="4" eb="6">
      <t>ジカン</t>
    </rPh>
    <phoneticPr fontId="1"/>
  </si>
  <si>
    <t>Creat係数</t>
    <rPh sb="5" eb="7">
      <t>ケイスウ</t>
    </rPh>
    <phoneticPr fontId="1"/>
  </si>
  <si>
    <t>Read係数</t>
    <rPh sb="4" eb="6">
      <t>ケイスウ</t>
    </rPh>
    <phoneticPr fontId="1"/>
  </si>
  <si>
    <t>Update係数</t>
    <rPh sb="6" eb="8">
      <t>ケイスウ</t>
    </rPh>
    <phoneticPr fontId="1"/>
  </si>
  <si>
    <t>Delete係数</t>
    <rPh sb="6" eb="8">
      <t>ケイスウ</t>
    </rPh>
    <phoneticPr fontId="1"/>
  </si>
  <si>
    <t>設計</t>
    <rPh sb="0" eb="2">
      <t>セッケイ</t>
    </rPh>
    <phoneticPr fontId="1"/>
  </si>
  <si>
    <t>画面名</t>
    <rPh sb="0" eb="3">
      <t>ガメンメイ</t>
    </rPh>
    <phoneticPr fontId="1"/>
  </si>
  <si>
    <t>合計/時</t>
    <rPh sb="0" eb="2">
      <t>ゴウケイ</t>
    </rPh>
    <rPh sb="3" eb="4">
      <t>ジ</t>
    </rPh>
    <phoneticPr fontId="1"/>
  </si>
  <si>
    <t>合計/日</t>
    <rPh sb="0" eb="2">
      <t>ゴウケイ</t>
    </rPh>
    <rPh sb="3" eb="4">
      <t>ニチ</t>
    </rPh>
    <phoneticPr fontId="1"/>
  </si>
  <si>
    <t>合計/月</t>
    <rPh sb="0" eb="2">
      <t>ゴウケイ</t>
    </rPh>
    <rPh sb="3" eb="4">
      <t>ツキ</t>
    </rPh>
    <phoneticPr fontId="1"/>
  </si>
  <si>
    <t>HTML工数</t>
    <rPh sb="4" eb="6">
      <t>コウスウ</t>
    </rPh>
    <phoneticPr fontId="1"/>
  </si>
  <si>
    <t>CSS工数</t>
    <rPh sb="3" eb="5">
      <t>コウスウ</t>
    </rPh>
    <phoneticPr fontId="1"/>
  </si>
  <si>
    <t>JavaScript工数</t>
    <rPh sb="10" eb="12">
      <t>コウスウ</t>
    </rPh>
    <phoneticPr fontId="1"/>
  </si>
  <si>
    <t>PHP工数</t>
    <rPh sb="3" eb="5">
      <t>コウスウ</t>
    </rPh>
    <phoneticPr fontId="1"/>
  </si>
  <si>
    <t>項目</t>
    <rPh sb="0" eb="2">
      <t>コウモク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</si>
  <si>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</si>
  <si>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</si>
  <si>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</si>
  <si>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原価</t>
    <rPh sb="0" eb="2">
      <t>ゲンカ</t>
    </rPh>
    <phoneticPr fontId="1"/>
  </si>
  <si>
    <t>売価</t>
    <rPh sb="0" eb="2">
      <t>バイカ</t>
    </rPh>
    <phoneticPr fontId="1"/>
  </si>
  <si>
    <t>ロリポップハイスピードプラン</t>
    <phoneticPr fontId="1"/>
  </si>
  <si>
    <t>ヶ月</t>
    <rPh sb="1" eb="2">
      <t>ゲツ</t>
    </rPh>
    <phoneticPr fontId="1"/>
  </si>
  <si>
    <t>支払消費税</t>
    <rPh sb="0" eb="5">
      <t>シハライショウヒゼイ</t>
    </rPh>
    <phoneticPr fontId="1"/>
  </si>
  <si>
    <t>支払金額</t>
    <rPh sb="0" eb="4">
      <t>シハライキンガク</t>
    </rPh>
    <phoneticPr fontId="1"/>
  </si>
  <si>
    <t>ロリポップ7世代バックアップ</t>
    <phoneticPr fontId="1"/>
  </si>
  <si>
    <t>ロリポップセキュリティ診断</t>
    <phoneticPr fontId="1"/>
  </si>
  <si>
    <t>請求消費税</t>
    <rPh sb="0" eb="5">
      <t>セイキュウショウヒゼイ</t>
    </rPh>
    <phoneticPr fontId="1"/>
  </si>
  <si>
    <t>請求金額</t>
    <rPh sb="0" eb="4">
      <t>セイキュウキンガク</t>
    </rPh>
    <phoneticPr fontId="1"/>
  </si>
  <si>
    <t>ドメイン維持費用</t>
    <rPh sb="4" eb="8">
      <t>イジヒヨウ</t>
    </rPh>
    <phoneticPr fontId="1"/>
  </si>
  <si>
    <t>サイト構築費用</t>
    <rPh sb="3" eb="7">
      <t>コウチクヒヨウ</t>
    </rPh>
    <phoneticPr fontId="1"/>
  </si>
  <si>
    <t>サイト運用保守費</t>
    <rPh sb="3" eb="8">
      <t>ウンヨウホシュヒ</t>
    </rPh>
    <phoneticPr fontId="1"/>
  </si>
  <si>
    <t>工数</t>
    <rPh sb="0" eb="2">
      <t>コウスウ</t>
    </rPh>
    <phoneticPr fontId="1"/>
  </si>
  <si>
    <t>工数/時</t>
    <rPh sb="0" eb="2">
      <t>コウスウ</t>
    </rPh>
    <rPh sb="3" eb="4">
      <t>ジ</t>
    </rPh>
    <phoneticPr fontId="1"/>
  </si>
  <si>
    <t>式</t>
    <rPh sb="0" eb="1">
      <t>シキ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</si>
</sst>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9" fontId="0" fillId="0" borderId="0" xfId="0" applyNumberFormat="1"/>
    <xf numFmtId="2" fontId="0" fillId="0" borderId="0" xfId="0" applyNumberFormat="1"/>
    <xf numFmtId="176" fontId="0" fillId="0" borderId="0" xfId="0" applyNumberFormat="1"/>
    <xf numFmtId="38" fontId="0" fillId="0" borderId="0" xfId="1" applyFont="1" applyAlignment="1"/>
    <xf numFmtId="38" fontId="0" fillId="0" borderId="0" xfId="0" applyNumberFormat="1"/>
  </cellXfs>
  <cellStyles count="2">
    <cellStyle name="桁区切り" xfId="1" builtinId="6"/>
    <cellStyle name="標準" xfId="0" builtinId="0"/>
  </cellStyles>
  <dxfs count="18"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13" formatCode="0%"/>
    </dxf>
    <dxf>
      <numFmt numFmtId="6" formatCode="#,##0;[Red]\-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  <dxf>
      <numFmt numFmtId="17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6BA2C-6EC8-4308-B0AC-692274E7DD0D}" name="テーブル1" displayName="テーブル1" ref="A3:Y4" totalsRowShown="0">
  <autoFilter ref="A3:Y4" xr:uid="{1136BA2C-6EC8-4308-B0AC-692274E7DD0D}"/>
  <tableColumns count="25">
    <tableColumn id="2" xr3:uid="{D304C935-B947-47C9-A3F6-ED311EE41CEA}" name="機能名"/>
    <tableColumn id="1" xr3:uid="{59201983-C0E9-4583-8D70-9049AF4FFBED}" name="画面名"/>
    <tableColumn id="3" xr3:uid="{404E17AB-1233-4A62-A5F0-DDB8F0319FBC}" name="項目数"/>
    <tableColumn id="4" xr3:uid="{89D86744-DF0A-4506-B404-429DFE31AD3F}" name="工数">
      <calculatedColumnFormula>CEILING(SUM(E4:I4),0.5)</calculatedColumnFormula>
    </tableColumn>
    <tableColumn id="5" xr3:uid="{BF3C5C2F-FD1E-4BBF-B720-3854C6F86179}" name="要件定義" dataDxfId="17">
      <calculatedColumnFormula>CEILING($G4/(40%/15%),0.5)</calculatedColumnFormula>
    </tableColumn>
    <tableColumn id="6" xr3:uid="{C017DB15-ACAC-47FB-8C05-28C58321736B}" name="設計" dataDxfId="16">
      <calculatedColumnFormula>CEILING($G4/(40%/25%),0.5)</calculatedColumnFormula>
    </tableColumn>
    <tableColumn id="7" xr3:uid="{81BE838E-233C-42A2-BCCE-E4E8D38B81D7}" name="開発" dataDxfId="15">
      <calculatedColumnFormula>CEILING(SUM(J4:M4),0.5)</calculatedColumnFormula>
    </tableColumn>
    <tableColumn id="8" xr3:uid="{B2E0847B-8E09-4A1D-BD99-422F8434E4D4}" name="テスト" dataDxfId="14">
      <calculatedColumnFormula>CEILING($G4/(40%/15%),0.5)</calculatedColumnFormula>
    </tableColumn>
    <tableColumn id="9" xr3:uid="{193012D0-F952-45C2-9ECC-F899E0F31330}" name="リリース" dataDxfId="13">
      <calculatedColumnFormula>CEILING($G4/(40%/5%),0.5)</calculatedColumnFormula>
    </tableColumn>
    <tableColumn id="10" xr3:uid="{D3C35CD0-FBE4-49FF-8B58-079D17102F49}" name="HTML工数" dataDxfId="12">
      <calculatedColumnFormula>$M4*$R4/(50%/20%)</calculatedColumnFormula>
    </tableColumn>
    <tableColumn id="11" xr3:uid="{D96A49DB-7540-47BB-A0C5-1E1195A92EF1}" name="CSS工数" dataDxfId="11">
      <calculatedColumnFormula>$M4*$S4/(50%/10%)</calculatedColumnFormula>
    </tableColumn>
    <tableColumn id="12" xr3:uid="{158DEC8A-BE10-45F8-B19C-60C720EB0C92}" name="JavaScript工数" dataDxfId="10">
      <calculatedColumnFormula>$M4*$T4/(50%/20%)</calculatedColumnFormula>
    </tableColumn>
    <tableColumn id="13" xr3:uid="{67643761-4D0E-4067-9DCF-67226EEA8085}" name="PHP工数" dataDxfId="9">
      <calculatedColumnFormula>SUM(V4:Y4)</calculatedColumnFormula>
    </tableColumn>
    <tableColumn id="14" xr3:uid="{E213692A-643D-46F6-9520-364BA0010B9B}" name="Creat"/>
    <tableColumn id="15" xr3:uid="{14C2EC08-76F6-42D2-9307-3136FD2AA394}" name="Read"/>
    <tableColumn id="16" xr3:uid="{D71B52C0-A54D-48A1-BE69-2A639F1A95CB}" name="Update"/>
    <tableColumn id="17" xr3:uid="{4A35CB0B-C64C-4914-9AB0-FE4072B427D0}" name="Delete"/>
    <tableColumn id="18" xr3:uid="{97CB5490-AE1E-43C4-9C24-2E2C7F019D9F}" name="HTML"/>
    <tableColumn id="19" xr3:uid="{BD80A641-D3E9-42AC-A950-3232919A6D49}" name="CSS"/>
    <tableColumn id="20" xr3:uid="{BF94DFA2-AA5D-4329-A791-DEDF0FD21B2E}" name="JavaScript"/>
    <tableColumn id="21" xr3:uid="{754D9B49-644B-4E5F-B66B-21FAF299CCA7}" name="PHP"/>
    <tableColumn id="22" xr3:uid="{986B9965-F56D-4C76-9FD8-A985E4161ABE}" name="Creat係数" dataDxfId="8">
      <calculatedColumnFormula>$C4*$N4*20%*2</calculatedColumnFormula>
    </tableColumn>
    <tableColumn id="23" xr3:uid="{2258D3E6-C6F1-4418-AB4B-943D3F5E5804}" name="Read係数" dataDxfId="7">
      <calculatedColumnFormula>$C4*$O4*40%*2</calculatedColumnFormula>
    </tableColumn>
    <tableColumn id="24" xr3:uid="{B04CB8A8-52DD-4C30-9E46-DC041C16D403}" name="Update係数" dataDxfId="6">
      <calculatedColumnFormula>$C4*$P4*25%*2</calculatedColumnFormula>
    </tableColumn>
    <tableColumn id="25" xr3:uid="{BFFB942B-CE6B-4291-AC28-6CB8CC860339}" name="Delete係数" dataDxfId="5">
      <calculatedColumnFormula>$C4*$Q4*15%*2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A82E4-AEA7-4385-9104-B4AC00ED65F3}" name="テーブル2" displayName="テーブル2" ref="A4:J10" totalsRowShown="0">
  <autoFilter ref="A4:J10" xr:uid="{9A2A82E4-AEA7-4385-9104-B4AC00ED65F3}"/>
  <tableColumns count="10">
    <tableColumn id="1" xr3:uid="{690D0FA2-3AF8-4DBE-AE29-C8F07AD4FD3E}" name="項目"/>
    <tableColumn id="2" xr3:uid="{04EAE44F-AB44-4A56-BDA4-3CE28F12866C}" name="数量"/>
    <tableColumn id="3" xr3:uid="{F4612E72-7192-4B5C-8455-1CFD5183E981}" name="単位"/>
    <tableColumn id="4" xr3:uid="{BF147BEA-90DF-4C71-9804-15ACE797D2B9}" name="単価"/>
    <tableColumn id="5" xr3:uid="{2DCDF404-7321-4A14-A8C2-1F81B926E34C}" name="原価" dataDxfId="4">
      <calculatedColumnFormula>テーブル2[[#This Row],[数量]]*テーブル2[[#This Row],[単価]]</calculatedColumnFormula>
    </tableColumn>
    <tableColumn id="6" xr3:uid="{37D9EC80-417B-4149-9591-1BC8408F7ADE}" name="支払消費税"/>
    <tableColumn id="7" xr3:uid="{0110B1F1-7060-48A4-967A-6760DAF4072E}" name="支払金額" dataDxfId="1">
      <calculatedColumnFormula>ROUNDUP(テーブル2[[#This Row],[原価]]*テーブル2[[#This Row],[支払消費税]],0)+テーブル2[[#This Row],[原価]]</calculatedColumnFormula>
    </tableColumn>
    <tableColumn id="10" xr3:uid="{C71B6C7A-2E53-4F68-A13A-2CA0633A672E}" name="売価" dataDxfId="2">
      <calculatedColumnFormula>ROUNDUP(テーブル2[[#This Row],[支払金額]]*1.3,0)</calculatedColumnFormula>
    </tableColumn>
    <tableColumn id="8" xr3:uid="{FE53DA1F-3F16-4D2F-A971-52DD3CB5D30D}" name="請求消費税" dataDxfId="3"/>
    <tableColumn id="9" xr3:uid="{B5D7221F-F4A8-4549-BEAB-EDF65965235B}" name="請求金額" dataDxfId="0">
      <calculatedColumnFormula>ROUNDUP(テーブル2[[#This Row],[売価]]*テーブル2[[#This Row],[請求消費税]],0)+テーブル2[[#This Row],[売価]]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workbookViewId="0">
      <selection activeCell="A2" sqref="A2"/>
    </sheetView>
  </sheetViews>
  <sheetFormatPr defaultRowHeight="18.75"/>
  <cols>
    <col min="4" max="4" width="9.375" customWidth="1"/>
    <col min="5" max="5" width="10.25" customWidth="1"/>
    <col min="9" max="9" width="10.25" customWidth="1"/>
    <col min="10" max="10" width="8.375" customWidth="1"/>
    <col min="11" max="11" width="6.625" customWidth="1"/>
    <col min="12" max="12" width="12.125" customWidth="1"/>
    <col min="13" max="13" width="6.75" customWidth="1"/>
    <col min="16" max="16" width="9.5" customWidth="1"/>
    <col min="18" max="18" width="9.5" customWidth="1"/>
    <col min="20" max="20" width="13.25" customWidth="1"/>
    <col min="22" max="22" width="11.625" customWidth="1"/>
    <col min="23" max="23" width="11.125" customWidth="1"/>
    <col min="24" max="24" width="13.25" customWidth="1"/>
    <col min="25" max="25" width="12.625" customWidth="1"/>
  </cols>
  <sheetData>
    <row r="1" spans="1:32">
      <c r="A1" t="s">
        <v>51</v>
      </c>
      <c r="B1" s="3">
        <f>SUM(テーブル1[工数])</f>
        <v>100</v>
      </c>
    </row>
    <row r="3" spans="1:32">
      <c r="A3" t="s">
        <v>0</v>
      </c>
      <c r="B3" t="s">
        <v>25</v>
      </c>
      <c r="C3" t="s">
        <v>8</v>
      </c>
      <c r="D3" t="s">
        <v>50</v>
      </c>
      <c r="E3" t="s">
        <v>1</v>
      </c>
      <c r="F3" t="s">
        <v>24</v>
      </c>
      <c r="G3" t="s">
        <v>2</v>
      </c>
      <c r="H3" t="s">
        <v>3</v>
      </c>
      <c r="I3" t="s">
        <v>15</v>
      </c>
      <c r="J3" t="s">
        <v>29</v>
      </c>
      <c r="K3" t="s">
        <v>30</v>
      </c>
      <c r="L3" t="s">
        <v>31</v>
      </c>
      <c r="M3" t="s">
        <v>32</v>
      </c>
      <c r="N3" t="s">
        <v>14</v>
      </c>
      <c r="O3" t="s">
        <v>10</v>
      </c>
      <c r="P3" t="s">
        <v>11</v>
      </c>
      <c r="Q3" t="s">
        <v>12</v>
      </c>
      <c r="R3" t="s">
        <v>4</v>
      </c>
      <c r="S3" t="s">
        <v>5</v>
      </c>
      <c r="T3" t="s">
        <v>6</v>
      </c>
      <c r="U3" t="s">
        <v>7</v>
      </c>
      <c r="V3" t="s">
        <v>20</v>
      </c>
      <c r="W3" t="s">
        <v>21</v>
      </c>
      <c r="X3" t="s">
        <v>22</v>
      </c>
      <c r="Y3" t="s">
        <v>23</v>
      </c>
    </row>
    <row r="4" spans="1:32">
      <c r="C4">
        <v>10</v>
      </c>
      <c r="D4">
        <f>CEILING(SUM(E4:I4),0.5)</f>
        <v>100</v>
      </c>
      <c r="E4" s="3">
        <f>CEILING($G4/(40%/15%),0.5)</f>
        <v>15</v>
      </c>
      <c r="F4" s="3">
        <f>CEILING($G4/(40%/25%),0.5)</f>
        <v>25</v>
      </c>
      <c r="G4" s="3">
        <f>CEILING(SUM(J4:M4),0.5)</f>
        <v>40</v>
      </c>
      <c r="H4" s="3">
        <f>CEILING($G4/(40%/15%),0.5)</f>
        <v>15</v>
      </c>
      <c r="I4" s="3">
        <f>CEILING($G4/(40%/5%),0.5)</f>
        <v>5</v>
      </c>
      <c r="J4" s="2">
        <f>$M4*$R4/(50%/20%)</f>
        <v>8</v>
      </c>
      <c r="K4" s="2">
        <f>$M4*$S4/(50%/10%)</f>
        <v>4</v>
      </c>
      <c r="L4" s="2">
        <f>$M4*$T4/(50%/20%)</f>
        <v>8</v>
      </c>
      <c r="M4" s="2">
        <f>SUM(V4:Y4)</f>
        <v>20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s="2">
        <f>$C4*$N4*20%*2</f>
        <v>4</v>
      </c>
      <c r="W4" s="2">
        <f>$C4*$O4*40%*2</f>
        <v>8</v>
      </c>
      <c r="X4" s="2">
        <f>$C4*$P4*25%*2</f>
        <v>5</v>
      </c>
      <c r="Y4" s="2">
        <f>$C4*$Q4*15%*2</f>
        <v>3</v>
      </c>
      <c r="AA4" t="s">
        <v>1</v>
      </c>
      <c r="AB4" s="1">
        <v>0.15</v>
      </c>
      <c r="AC4" t="s">
        <v>7</v>
      </c>
      <c r="AD4" s="1">
        <v>0.5</v>
      </c>
      <c r="AE4" t="s">
        <v>13</v>
      </c>
      <c r="AF4" s="1">
        <v>0.2</v>
      </c>
    </row>
    <row r="5" spans="1:32">
      <c r="AA5" t="s">
        <v>24</v>
      </c>
      <c r="AB5" s="1">
        <v>0.25</v>
      </c>
      <c r="AC5" t="s">
        <v>4</v>
      </c>
      <c r="AD5" s="1">
        <v>0.2</v>
      </c>
      <c r="AE5" t="s">
        <v>10</v>
      </c>
      <c r="AF5" s="1">
        <v>0.4</v>
      </c>
    </row>
    <row r="6" spans="1:32">
      <c r="C6" t="s">
        <v>26</v>
      </c>
      <c r="D6" s="2">
        <f t="shared" ref="D6:D7" si="0">SUM(E6:I6)</f>
        <v>100</v>
      </c>
      <c r="E6" s="3">
        <f>SUM(テーブル1[要件定義])</f>
        <v>15</v>
      </c>
      <c r="F6" s="3">
        <f>SUM(テーブル1[設計])</f>
        <v>25</v>
      </c>
      <c r="G6" s="3">
        <f>SUM(テーブル1[開発])</f>
        <v>40</v>
      </c>
      <c r="H6" s="3">
        <f>SUM(テーブル1[テスト])</f>
        <v>15</v>
      </c>
      <c r="I6" s="3">
        <f>SUM(テーブル1[リリース])</f>
        <v>5</v>
      </c>
      <c r="AA6" t="s">
        <v>2</v>
      </c>
      <c r="AB6" s="1">
        <v>0.4</v>
      </c>
      <c r="AC6" t="s">
        <v>5</v>
      </c>
      <c r="AD6" s="1">
        <v>0.1</v>
      </c>
      <c r="AE6" t="s">
        <v>11</v>
      </c>
      <c r="AF6" s="1">
        <v>0.25</v>
      </c>
    </row>
    <row r="7" spans="1:32">
      <c r="C7" t="s">
        <v>27</v>
      </c>
      <c r="D7" s="2">
        <f t="shared" si="0"/>
        <v>12.5</v>
      </c>
      <c r="E7" s="2">
        <f>E6/8</f>
        <v>1.875</v>
      </c>
      <c r="F7" s="2">
        <f t="shared" ref="F7:I7" si="1">F6/8</f>
        <v>3.125</v>
      </c>
      <c r="G7" s="2">
        <f t="shared" si="1"/>
        <v>5</v>
      </c>
      <c r="H7" s="2">
        <f t="shared" si="1"/>
        <v>1.875</v>
      </c>
      <c r="I7" s="2">
        <f t="shared" si="1"/>
        <v>0.625</v>
      </c>
      <c r="AA7" t="s">
        <v>3</v>
      </c>
      <c r="AB7" s="1">
        <v>0.15</v>
      </c>
      <c r="AC7" t="s">
        <v>6</v>
      </c>
      <c r="AD7" s="1">
        <v>0.2</v>
      </c>
      <c r="AE7" t="s">
        <v>12</v>
      </c>
      <c r="AF7" s="1">
        <v>0.15</v>
      </c>
    </row>
    <row r="8" spans="1:32">
      <c r="C8" t="s">
        <v>28</v>
      </c>
      <c r="D8" s="2">
        <f>SUM(E8:I8)</f>
        <v>0.625</v>
      </c>
      <c r="E8" s="2">
        <f>E7/20</f>
        <v>9.375E-2</v>
      </c>
      <c r="F8" s="2">
        <f t="shared" ref="F8:I8" si="2">F7/20</f>
        <v>0.15625</v>
      </c>
      <c r="G8" s="2">
        <f t="shared" si="2"/>
        <v>0.25</v>
      </c>
      <c r="H8" s="2">
        <f t="shared" si="2"/>
        <v>9.375E-2</v>
      </c>
      <c r="I8" s="2">
        <f t="shared" si="2"/>
        <v>3.125E-2</v>
      </c>
      <c r="AA8" t="s">
        <v>15</v>
      </c>
      <c r="AB8" s="1">
        <v>0.05</v>
      </c>
    </row>
    <row r="9" spans="1:32">
      <c r="AA9" t="s">
        <v>9</v>
      </c>
      <c r="AB9" s="1">
        <f>SUM(AB4:AB8)</f>
        <v>1</v>
      </c>
      <c r="AC9" t="s">
        <v>9</v>
      </c>
      <c r="AD9" s="1">
        <f>SUM(AD4:AD8)</f>
        <v>1</v>
      </c>
      <c r="AE9" t="s">
        <v>9</v>
      </c>
      <c r="AF9" s="1">
        <f>SUM(AF4:AF8)</f>
        <v>1</v>
      </c>
    </row>
    <row r="11" spans="1:32">
      <c r="AC11" t="s">
        <v>18</v>
      </c>
      <c r="AD11" t="s">
        <v>19</v>
      </c>
      <c r="AE11" t="s">
        <v>16</v>
      </c>
      <c r="AF11" t="s">
        <v>17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7DED-6F4B-44EA-86AC-AC1CE8477D22}">
  <dimension ref="A4:J10"/>
  <sheetViews>
    <sheetView tabSelected="1" workbookViewId="0">
      <selection activeCell="G9" sqref="G9"/>
    </sheetView>
  </sheetViews>
  <sheetFormatPr defaultRowHeight="18.75"/>
  <cols>
    <col min="1" max="1" width="29.25" bestFit="1" customWidth="1"/>
    <col min="3" max="3" width="7.5" bestFit="1" customWidth="1"/>
    <col min="4" max="4" width="8" bestFit="1" customWidth="1"/>
    <col min="5" max="5" width="7.5" bestFit="1" customWidth="1"/>
    <col min="6" max="6" width="13.25" bestFit="1" customWidth="1"/>
    <col min="7" max="7" width="11.25" bestFit="1" customWidth="1"/>
    <col min="8" max="9" width="13.25" bestFit="1" customWidth="1"/>
    <col min="10" max="10" width="11.25" bestFit="1" customWidth="1"/>
  </cols>
  <sheetData>
    <row r="4" spans="1:10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41</v>
      </c>
      <c r="G4" t="s">
        <v>42</v>
      </c>
      <c r="H4" t="s">
        <v>38</v>
      </c>
      <c r="I4" t="s">
        <v>45</v>
      </c>
      <c r="J4" t="s">
        <v>46</v>
      </c>
    </row>
    <row r="5" spans="1:10">
      <c r="A5" t="s">
        <v>39</v>
      </c>
      <c r="B5">
        <v>1</v>
      </c>
      <c r="C5" t="s">
        <v>40</v>
      </c>
      <c r="D5" s="4">
        <v>1430</v>
      </c>
      <c r="E5" s="4">
        <f>テーブル2[[#This Row],[数量]]*テーブル2[[#This Row],[単価]]</f>
        <v>1430</v>
      </c>
      <c r="F5" s="1">
        <v>0.1</v>
      </c>
      <c r="G5" s="4">
        <f>ROUNDUP(テーブル2[[#This Row],[原価]]*テーブル2[[#This Row],[支払消費税]],0)+テーブル2[[#This Row],[原価]]</f>
        <v>1573</v>
      </c>
      <c r="H5" s="4">
        <f>ROUNDUP(テーブル2[[#This Row],[支払金額]]*1.3,0)</f>
        <v>2045</v>
      </c>
      <c r="I5" s="1">
        <v>0.1</v>
      </c>
      <c r="J5" s="4">
        <f>ROUNDUP(テーブル2[[#This Row],[売価]]*テーブル2[[#This Row],[請求消費税]],0)+テーブル2[[#This Row],[売価]]</f>
        <v>2250</v>
      </c>
    </row>
    <row r="6" spans="1:10">
      <c r="A6" t="s">
        <v>43</v>
      </c>
      <c r="B6">
        <v>1</v>
      </c>
      <c r="C6" t="s">
        <v>40</v>
      </c>
      <c r="D6">
        <v>440</v>
      </c>
      <c r="E6" s="5">
        <f>テーブル2[[#This Row],[数量]]*テーブル2[[#This Row],[単価]]</f>
        <v>440</v>
      </c>
      <c r="F6" s="1">
        <v>0.1</v>
      </c>
      <c r="G6" s="5">
        <f>ROUNDUP(テーブル2[[#This Row],[原価]]*テーブル2[[#This Row],[支払消費税]],0)+テーブル2[[#This Row],[原価]]</f>
        <v>484</v>
      </c>
      <c r="H6" s="5">
        <f>ROUNDUP(テーブル2[[#This Row],[支払金額]]*1.3,0)</f>
        <v>630</v>
      </c>
      <c r="I6" s="1">
        <v>0.1</v>
      </c>
      <c r="J6" s="4">
        <f>ROUNDUP(テーブル2[[#This Row],[売価]]*テーブル2[[#This Row],[請求消費税]],0)+テーブル2[[#This Row],[売価]]</f>
        <v>693</v>
      </c>
    </row>
    <row r="7" spans="1:10">
      <c r="A7" t="s">
        <v>44</v>
      </c>
      <c r="B7">
        <v>1</v>
      </c>
      <c r="C7" t="s">
        <v>40</v>
      </c>
      <c r="D7">
        <v>330</v>
      </c>
      <c r="E7" s="5">
        <f>テーブル2[[#This Row],[数量]]*テーブル2[[#This Row],[単価]]</f>
        <v>330</v>
      </c>
      <c r="F7" s="1">
        <v>0.1</v>
      </c>
      <c r="G7" s="5">
        <f>ROUNDUP(テーブル2[[#This Row],[原価]]*テーブル2[[#This Row],[支払消費税]],0)+テーブル2[[#This Row],[原価]]</f>
        <v>363</v>
      </c>
      <c r="H7" s="5">
        <f>ROUNDUP(テーブル2[[#This Row],[支払金額]]*1.3,0)</f>
        <v>472</v>
      </c>
      <c r="I7" s="1">
        <v>0.1</v>
      </c>
      <c r="J7" s="4">
        <f>ROUNDUP(テーブル2[[#This Row],[売価]]*テーブル2[[#This Row],[請求消費税]],0)+テーブル2[[#This Row],[売価]]</f>
        <v>520</v>
      </c>
    </row>
    <row r="8" spans="1:10">
      <c r="A8" t="s">
        <v>47</v>
      </c>
      <c r="B8">
        <v>1</v>
      </c>
      <c r="C8" t="s">
        <v>40</v>
      </c>
      <c r="D8">
        <f>3000/12</f>
        <v>250</v>
      </c>
      <c r="E8" s="5">
        <f>テーブル2[[#This Row],[数量]]*テーブル2[[#This Row],[単価]]</f>
        <v>250</v>
      </c>
      <c r="F8" s="1">
        <v>0.1</v>
      </c>
      <c r="G8" s="5">
        <f>ROUNDUP(テーブル2[[#This Row],[原価]]*テーブル2[[#This Row],[支払消費税]],0)+テーブル2[[#This Row],[原価]]</f>
        <v>275</v>
      </c>
      <c r="H8" s="5">
        <f>ROUNDUP(テーブル2[[#This Row],[支払金額]]*1.3,0)</f>
        <v>358</v>
      </c>
      <c r="I8" s="1">
        <v>0.1</v>
      </c>
      <c r="J8" s="5">
        <f>ROUNDUP(テーブル2[[#This Row],[売価]]*テーブル2[[#This Row],[請求消費税]],0)+テーブル2[[#This Row],[売価]]</f>
        <v>394</v>
      </c>
    </row>
    <row r="9" spans="1:10">
      <c r="A9" t="s">
        <v>48</v>
      </c>
      <c r="B9">
        <v>1</v>
      </c>
      <c r="C9" t="s">
        <v>52</v>
      </c>
      <c r="D9" s="4">
        <f>ROUNDUP(SUM(テーブル1[工数])*4000,0)</f>
        <v>400000</v>
      </c>
      <c r="E9" s="5">
        <f>テーブル2[[#This Row],[数量]]*テーブル2[[#This Row],[単価]]</f>
        <v>400000</v>
      </c>
      <c r="F9" s="1">
        <v>0.1</v>
      </c>
      <c r="G9" s="5">
        <f>ROUNDUP(テーブル2[[#This Row],[原価]]*テーブル2[[#This Row],[支払消費税]],0)+テーブル2[[#This Row],[原価]]</f>
        <v>440000</v>
      </c>
      <c r="H9" s="5">
        <f>ROUNDUP(テーブル2[[#This Row],[支払金額]]*1.3,0)</f>
        <v>572000</v>
      </c>
      <c r="I9" s="1">
        <v>0.1</v>
      </c>
      <c r="J9" s="5">
        <f>ROUNDUP(テーブル2[[#This Row],[売価]]*テーブル2[[#This Row],[請求消費税]],0)+テーブル2[[#This Row],[売価]]</f>
        <v>629200</v>
      </c>
    </row>
    <row r="10" spans="1:10">
      <c r="A10" t="s">
        <v>49</v>
      </c>
      <c r="B10">
        <v>1</v>
      </c>
      <c r="C10" t="s">
        <v>40</v>
      </c>
      <c r="D10" s="4">
        <f>ROUNDUP(H9/10,0)</f>
        <v>57200</v>
      </c>
      <c r="E10" s="5">
        <f>テーブル2[[#This Row],[数量]]*テーブル2[[#This Row],[単価]]</f>
        <v>57200</v>
      </c>
      <c r="F10" s="1">
        <v>0.1</v>
      </c>
      <c r="G10" s="5">
        <f>ROUNDUP(テーブル2[[#This Row],[原価]]*テーブル2[[#This Row],[支払消費税]],0)+テーブル2[[#This Row],[原価]]</f>
        <v>62920</v>
      </c>
      <c r="H10" s="5">
        <f>ROUNDUP(テーブル2[[#This Row],[支払金額]]*1.3,0)</f>
        <v>81796</v>
      </c>
      <c r="I10" s="1">
        <v>0.1</v>
      </c>
      <c r="J10" s="5">
        <f>ROUNDUP(テーブル2[[#This Row],[売価]]*テーブル2[[#This Row],[請求消費税]],0)+テーブル2[[#This Row],[売価]]</f>
        <v>89976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工数試算</vt:lpstr>
      <vt:lpstr>見積概算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Akinobu Sekiya</dc:creator>
  <cp:lastModifiedBy>Akinobu Sekiya</cp:lastModifiedBy>
  <dcterms:created xsi:type="dcterms:W3CDTF">2015-06-05T18:19:34Z</dcterms:created>
  <dcterms:modified xsi:type="dcterms:W3CDTF">2025-10-26T11:05:17Z</dcterms:modified>
</cp:coreProperties>
</file>